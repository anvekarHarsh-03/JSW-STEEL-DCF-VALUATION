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CF Valuations\JSW steel (june 2025)\"/>
    </mc:Choice>
  </mc:AlternateContent>
  <bookViews>
    <workbookView xWindow="0" yWindow="0" windowWidth="19200" windowHeight="7310" activeTab="2"/>
  </bookViews>
  <sheets>
    <sheet name="JSW steel Overview" sheetId="17" r:id="rId1"/>
    <sheet name="DCF" sheetId="18" r:id="rId2"/>
    <sheet name="WACC" sheetId="12" r:id="rId3"/>
    <sheet name="Financials -&gt;" sheetId="2" r:id="rId4"/>
    <sheet name="HistoricalFS" sheetId="3" r:id="rId5"/>
    <sheet name="Ratio analysis" sheetId="7" r:id="rId6"/>
    <sheet name="Growth" sheetId="9" r:id="rId7"/>
    <sheet name="Forecasting" sheetId="8" r:id="rId8"/>
    <sheet name="WACC Calculation -&gt;" sheetId="11" r:id="rId9"/>
    <sheet name="peers Levered Beta - regression" sheetId="13" r:id="rId10"/>
    <sheet name="Other WACC inputs" sheetId="14" r:id="rId11"/>
    <sheet name="Data -&gt;" sheetId="4" r:id="rId12"/>
    <sheet name="Data Sheet" sheetId="1" r:id="rId13"/>
    <sheet name="Cash Flow Data" sheetId="6" r:id="rId14"/>
    <sheet name="BS data" sheetId="10" r:id="rId15"/>
  </sheets>
  <definedNames>
    <definedName name="tgr">DCF!$E$18</definedName>
    <definedName name="UPDATE">'Data Sheet'!$E$1</definedName>
    <definedName name="wacc">DCF!$E$17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8" l="1"/>
  <c r="G83" i="18"/>
  <c r="G80" i="18"/>
  <c r="G79" i="18"/>
  <c r="Q72" i="18"/>
  <c r="R72" i="18" s="1"/>
  <c r="S72" i="18" s="1"/>
  <c r="P72" i="18"/>
  <c r="E18" i="18"/>
  <c r="Q69" i="18"/>
  <c r="R69" i="18"/>
  <c r="S69" i="18"/>
  <c r="P69" i="18"/>
  <c r="Q66" i="18"/>
  <c r="R66" i="18"/>
  <c r="P66" i="18"/>
  <c r="Q63" i="18"/>
  <c r="R63" i="18"/>
  <c r="P63" i="18"/>
  <c r="S66" i="18"/>
  <c r="S63" i="18"/>
  <c r="O69" i="18"/>
  <c r="O66" i="18"/>
  <c r="O63" i="18"/>
  <c r="E63" i="18"/>
  <c r="F63" i="18"/>
  <c r="G63" i="18"/>
  <c r="H63" i="18"/>
  <c r="I63" i="18"/>
  <c r="J63" i="18"/>
  <c r="K63" i="18"/>
  <c r="L63" i="18"/>
  <c r="M63" i="18"/>
  <c r="N63" i="18"/>
  <c r="E65" i="18"/>
  <c r="F65" i="18"/>
  <c r="G65" i="18"/>
  <c r="H65" i="18"/>
  <c r="I65" i="18"/>
  <c r="J65" i="18"/>
  <c r="K65" i="18"/>
  <c r="L65" i="18"/>
  <c r="M65" i="18"/>
  <c r="N65" i="18"/>
  <c r="E66" i="18"/>
  <c r="F66" i="18"/>
  <c r="G66" i="18"/>
  <c r="H66" i="18"/>
  <c r="I66" i="18"/>
  <c r="J66" i="18"/>
  <c r="K66" i="18"/>
  <c r="L66" i="18"/>
  <c r="M66" i="18"/>
  <c r="N66" i="18"/>
  <c r="E68" i="18"/>
  <c r="F68" i="18"/>
  <c r="G68" i="18"/>
  <c r="H68" i="18"/>
  <c r="I68" i="18"/>
  <c r="J68" i="18"/>
  <c r="K68" i="18"/>
  <c r="L68" i="18"/>
  <c r="M68" i="18"/>
  <c r="N68" i="18"/>
  <c r="E69" i="18"/>
  <c r="F69" i="18"/>
  <c r="G69" i="18"/>
  <c r="H69" i="18"/>
  <c r="I69" i="18"/>
  <c r="J69" i="18"/>
  <c r="K69" i="18"/>
  <c r="L69" i="18"/>
  <c r="M69" i="18"/>
  <c r="N69" i="18"/>
  <c r="F62" i="18"/>
  <c r="G62" i="18"/>
  <c r="H62" i="18"/>
  <c r="I62" i="18"/>
  <c r="J62" i="18"/>
  <c r="K62" i="18"/>
  <c r="L62" i="18"/>
  <c r="M62" i="18"/>
  <c r="N62" i="18"/>
  <c r="E62" i="18"/>
  <c r="Q58" i="18"/>
  <c r="R58" i="18"/>
  <c r="S58" i="18"/>
  <c r="P58" i="18"/>
  <c r="O58" i="18"/>
  <c r="E58" i="18"/>
  <c r="F58" i="18"/>
  <c r="G58" i="18"/>
  <c r="H58" i="18"/>
  <c r="I58" i="18"/>
  <c r="J58" i="18"/>
  <c r="K58" i="18"/>
  <c r="L58" i="18"/>
  <c r="M58" i="18"/>
  <c r="N58" i="18"/>
  <c r="F57" i="18"/>
  <c r="G57" i="18"/>
  <c r="H57" i="18"/>
  <c r="I57" i="18"/>
  <c r="J57" i="18"/>
  <c r="K57" i="18"/>
  <c r="L57" i="18"/>
  <c r="M57" i="18"/>
  <c r="N57" i="18"/>
  <c r="E57" i="18"/>
  <c r="Q55" i="18"/>
  <c r="R55" i="18" s="1"/>
  <c r="S55" i="18" s="1"/>
  <c r="P55" i="18"/>
  <c r="O55" i="18"/>
  <c r="F54" i="18"/>
  <c r="G54" i="18"/>
  <c r="H54" i="18"/>
  <c r="I54" i="18"/>
  <c r="J54" i="18"/>
  <c r="K54" i="18"/>
  <c r="L54" i="18"/>
  <c r="M54" i="18"/>
  <c r="N54" i="18"/>
  <c r="F55" i="18"/>
  <c r="G55" i="18"/>
  <c r="H55" i="18"/>
  <c r="I55" i="18"/>
  <c r="J55" i="18"/>
  <c r="K55" i="18"/>
  <c r="L55" i="18"/>
  <c r="M55" i="18"/>
  <c r="N55" i="18"/>
  <c r="E55" i="18"/>
  <c r="E54" i="18"/>
  <c r="Q52" i="18"/>
  <c r="R52" i="18"/>
  <c r="S52" i="18" s="1"/>
  <c r="P52" i="18"/>
  <c r="O52" i="18"/>
  <c r="E52" i="18"/>
  <c r="F52" i="18"/>
  <c r="G52" i="18"/>
  <c r="H52" i="18"/>
  <c r="I52" i="18"/>
  <c r="J52" i="18"/>
  <c r="K52" i="18"/>
  <c r="L52" i="18"/>
  <c r="M52" i="18"/>
  <c r="N52" i="18"/>
  <c r="F51" i="18"/>
  <c r="G51" i="18"/>
  <c r="H51" i="18"/>
  <c r="I51" i="18"/>
  <c r="J51" i="18"/>
  <c r="K51" i="18"/>
  <c r="L51" i="18"/>
  <c r="M51" i="18"/>
  <c r="N51" i="18"/>
  <c r="E51" i="18"/>
  <c r="S49" i="18"/>
  <c r="S46" i="18" s="1"/>
  <c r="T12" i="18"/>
  <c r="S48" i="18"/>
  <c r="O11" i="18"/>
  <c r="O48" i="18" s="1"/>
  <c r="E46" i="18"/>
  <c r="F46" i="18"/>
  <c r="G46" i="18"/>
  <c r="H46" i="18"/>
  <c r="I46" i="18"/>
  <c r="J46" i="18"/>
  <c r="K46" i="18"/>
  <c r="L46" i="18"/>
  <c r="M46" i="18"/>
  <c r="N46" i="18"/>
  <c r="F45" i="18"/>
  <c r="G45" i="18"/>
  <c r="H45" i="18"/>
  <c r="I45" i="18"/>
  <c r="J45" i="18"/>
  <c r="K45" i="18"/>
  <c r="L45" i="18"/>
  <c r="M45" i="18"/>
  <c r="N45" i="18"/>
  <c r="E45" i="18"/>
  <c r="F44" i="18"/>
  <c r="G44" i="18" s="1"/>
  <c r="H44" i="18" s="1"/>
  <c r="I44" i="18" s="1"/>
  <c r="J44" i="18" s="1"/>
  <c r="K44" i="18" s="1"/>
  <c r="L44" i="18" s="1"/>
  <c r="M44" i="18" s="1"/>
  <c r="N44" i="18" s="1"/>
  <c r="O44" i="18" s="1"/>
  <c r="P44" i="18" s="1"/>
  <c r="Q44" i="18" s="1"/>
  <c r="R44" i="18" s="1"/>
  <c r="S44" i="18" s="1"/>
  <c r="G42" i="18"/>
  <c r="H42" i="18"/>
  <c r="I42" i="18"/>
  <c r="J42" i="18"/>
  <c r="K42" i="18"/>
  <c r="L42" i="18"/>
  <c r="M42" i="18"/>
  <c r="N42" i="18"/>
  <c r="F42" i="18"/>
  <c r="F41" i="18"/>
  <c r="G41" i="18"/>
  <c r="H41" i="18"/>
  <c r="I41" i="18"/>
  <c r="J41" i="18"/>
  <c r="K41" i="18"/>
  <c r="L41" i="18"/>
  <c r="M41" i="18"/>
  <c r="N41" i="18"/>
  <c r="E41" i="18"/>
  <c r="F40" i="18"/>
  <c r="G40" i="18"/>
  <c r="H40" i="18"/>
  <c r="I40" i="18"/>
  <c r="J40" i="18"/>
  <c r="K40" i="18"/>
  <c r="L40" i="18"/>
  <c r="M40" i="18"/>
  <c r="N40" i="18"/>
  <c r="E40" i="18"/>
  <c r="F38" i="18"/>
  <c r="G38" i="18"/>
  <c r="H38" i="18"/>
  <c r="I38" i="18"/>
  <c r="J38" i="18"/>
  <c r="K38" i="18"/>
  <c r="L38" i="18"/>
  <c r="M38" i="18"/>
  <c r="N38" i="18"/>
  <c r="E38" i="18"/>
  <c r="F37" i="18"/>
  <c r="G37" i="18"/>
  <c r="H37" i="18"/>
  <c r="I37" i="18"/>
  <c r="J37" i="18"/>
  <c r="K37" i="18"/>
  <c r="L37" i="18"/>
  <c r="M37" i="18"/>
  <c r="N37" i="18"/>
  <c r="E37" i="18"/>
  <c r="F35" i="18"/>
  <c r="G35" i="18"/>
  <c r="H35" i="18"/>
  <c r="I35" i="18"/>
  <c r="J35" i="18"/>
  <c r="K35" i="18"/>
  <c r="L35" i="18"/>
  <c r="M35" i="18"/>
  <c r="N35" i="18"/>
  <c r="E35" i="18"/>
  <c r="F34" i="18"/>
  <c r="G34" i="18"/>
  <c r="H34" i="18"/>
  <c r="I34" i="18"/>
  <c r="J34" i="18"/>
  <c r="K34" i="18"/>
  <c r="L34" i="18"/>
  <c r="M34" i="18"/>
  <c r="N34" i="18"/>
  <c r="E34" i="18"/>
  <c r="F33" i="18"/>
  <c r="G33" i="18" s="1"/>
  <c r="H33" i="18" s="1"/>
  <c r="I33" i="18" s="1"/>
  <c r="J33" i="18" s="1"/>
  <c r="K33" i="18" s="1"/>
  <c r="L33" i="18" s="1"/>
  <c r="M33" i="18" s="1"/>
  <c r="N33" i="18" s="1"/>
  <c r="O33" i="18" s="1"/>
  <c r="P33" i="18" s="1"/>
  <c r="Q33" i="18" s="1"/>
  <c r="R33" i="18" s="1"/>
  <c r="S33" i="18" s="1"/>
  <c r="F31" i="18"/>
  <c r="G31" i="18"/>
  <c r="H31" i="18"/>
  <c r="I31" i="18"/>
  <c r="J31" i="18"/>
  <c r="K31" i="18"/>
  <c r="L31" i="18"/>
  <c r="M31" i="18"/>
  <c r="N31" i="18"/>
  <c r="E31" i="18"/>
  <c r="F30" i="18"/>
  <c r="G30" i="18"/>
  <c r="H30" i="18"/>
  <c r="I30" i="18"/>
  <c r="J30" i="18"/>
  <c r="K30" i="18"/>
  <c r="L30" i="18"/>
  <c r="M30" i="18"/>
  <c r="N30" i="18"/>
  <c r="E30" i="18"/>
  <c r="F28" i="18"/>
  <c r="G28" i="18"/>
  <c r="H28" i="18"/>
  <c r="I28" i="18"/>
  <c r="J28" i="18"/>
  <c r="K28" i="18"/>
  <c r="L28" i="18"/>
  <c r="M28" i="18"/>
  <c r="N28" i="18"/>
  <c r="E28" i="18"/>
  <c r="F27" i="18"/>
  <c r="G27" i="18"/>
  <c r="H27" i="18"/>
  <c r="I27" i="18"/>
  <c r="J27" i="18"/>
  <c r="K27" i="18"/>
  <c r="L27" i="18"/>
  <c r="M27" i="18"/>
  <c r="N27" i="18"/>
  <c r="E27" i="18"/>
  <c r="F25" i="18"/>
  <c r="G25" i="18"/>
  <c r="H25" i="18"/>
  <c r="I25" i="18"/>
  <c r="J25" i="18"/>
  <c r="K25" i="18"/>
  <c r="L25" i="18"/>
  <c r="M25" i="18"/>
  <c r="N25" i="18"/>
  <c r="E25" i="18"/>
  <c r="F24" i="18"/>
  <c r="G24" i="18"/>
  <c r="H24" i="18"/>
  <c r="I24" i="18"/>
  <c r="J24" i="18"/>
  <c r="K24" i="18"/>
  <c r="L24" i="18"/>
  <c r="M24" i="18"/>
  <c r="N24" i="18"/>
  <c r="E24" i="18"/>
  <c r="G22" i="18"/>
  <c r="H22" i="18"/>
  <c r="I22" i="18"/>
  <c r="J22" i="18"/>
  <c r="K22" i="18"/>
  <c r="L22" i="18"/>
  <c r="M22" i="18"/>
  <c r="N22" i="18"/>
  <c r="F22" i="18"/>
  <c r="F21" i="18"/>
  <c r="G21" i="18"/>
  <c r="H21" i="18"/>
  <c r="I21" i="18"/>
  <c r="J21" i="18"/>
  <c r="K21" i="18"/>
  <c r="L21" i="18"/>
  <c r="M21" i="18"/>
  <c r="N21" i="18"/>
  <c r="E21" i="18"/>
  <c r="K20" i="18"/>
  <c r="L20" i="18" s="1"/>
  <c r="M20" i="18" s="1"/>
  <c r="N20" i="18" s="1"/>
  <c r="O20" i="18" s="1"/>
  <c r="P20" i="18" s="1"/>
  <c r="Q20" i="18" s="1"/>
  <c r="R20" i="18" s="1"/>
  <c r="S20" i="18" s="1"/>
  <c r="G20" i="18"/>
  <c r="H20" i="18" s="1"/>
  <c r="I20" i="18" s="1"/>
  <c r="J20" i="18" s="1"/>
  <c r="F20" i="18"/>
  <c r="B12" i="18"/>
  <c r="O46" i="18" l="1"/>
  <c r="O45" i="18" s="1"/>
  <c r="O51" i="18" s="1"/>
  <c r="T11" i="18"/>
  <c r="O49" i="18" s="1"/>
  <c r="P49" i="18" s="1"/>
  <c r="Q49" i="18" s="1"/>
  <c r="R49" i="18" s="1"/>
  <c r="J11" i="18"/>
  <c r="O47" i="18" s="1"/>
  <c r="J12" i="18"/>
  <c r="S47" i="18" s="1"/>
  <c r="P48" i="18"/>
  <c r="O54" i="18" l="1"/>
  <c r="O57" i="18" s="1"/>
  <c r="O60" i="18" s="1"/>
  <c r="O62" i="18"/>
  <c r="O65" i="18"/>
  <c r="O68" i="18"/>
  <c r="P47" i="18"/>
  <c r="Q47" i="18" s="1"/>
  <c r="R47" i="18" s="1"/>
  <c r="P46" i="18"/>
  <c r="P45" i="18" s="1"/>
  <c r="P54" i="18" s="1"/>
  <c r="P57" i="18" s="1"/>
  <c r="P60" i="18" s="1"/>
  <c r="Q48" i="18"/>
  <c r="O71" i="18" l="1"/>
  <c r="P62" i="18"/>
  <c r="P68" i="18"/>
  <c r="P51" i="18"/>
  <c r="P65" i="18"/>
  <c r="R48" i="18"/>
  <c r="R46" i="18" s="1"/>
  <c r="Q46" i="18"/>
  <c r="Q45" i="18" s="1"/>
  <c r="Q51" i="18" s="1"/>
  <c r="P71" i="18" l="1"/>
  <c r="Q62" i="18"/>
  <c r="Q65" i="18"/>
  <c r="R45" i="18"/>
  <c r="S45" i="18" s="1"/>
  <c r="S68" i="18" s="1"/>
  <c r="Q54" i="18"/>
  <c r="Q57" i="18" s="1"/>
  <c r="Q60" i="18" s="1"/>
  <c r="Q68" i="18"/>
  <c r="R54" i="18" l="1"/>
  <c r="R57" i="18" s="1"/>
  <c r="R60" i="18" s="1"/>
  <c r="R68" i="18"/>
  <c r="R65" i="18"/>
  <c r="Q71" i="18"/>
  <c r="R51" i="18"/>
  <c r="R62" i="18"/>
  <c r="S62" i="18"/>
  <c r="S65" i="18"/>
  <c r="S51" i="18"/>
  <c r="S54" i="18"/>
  <c r="R71" i="18" l="1"/>
  <c r="S57" i="18"/>
  <c r="S60" i="18" s="1"/>
  <c r="S71" i="18" s="1"/>
  <c r="N10" i="8" l="1"/>
  <c r="O10" i="8"/>
  <c r="P10" i="8"/>
  <c r="Q10" i="8"/>
  <c r="M10" i="8"/>
  <c r="M9" i="8" s="1"/>
  <c r="M11" i="8"/>
  <c r="N11" i="8" s="1"/>
  <c r="E3" i="8"/>
  <c r="M19" i="9"/>
  <c r="E27" i="9"/>
  <c r="M12" i="8" s="1"/>
  <c r="N12" i="8" s="1"/>
  <c r="O12" i="8" s="1"/>
  <c r="P12" i="8" s="1"/>
  <c r="E26" i="9"/>
  <c r="E25" i="9"/>
  <c r="C27" i="9"/>
  <c r="C26" i="9"/>
  <c r="C25" i="9"/>
  <c r="C10" i="14"/>
  <c r="E14" i="13"/>
  <c r="G14" i="13"/>
  <c r="E5" i="13" s="1"/>
  <c r="I9" i="12" s="1"/>
  <c r="I14" i="13"/>
  <c r="E6" i="13" s="1"/>
  <c r="I10" i="12" s="1"/>
  <c r="K14" i="13"/>
  <c r="E7" i="13" s="1"/>
  <c r="I11" i="12" s="1"/>
  <c r="M14" i="13"/>
  <c r="E8" i="13" s="1"/>
  <c r="I12" i="12" s="1"/>
  <c r="O14" i="13"/>
  <c r="E15" i="13"/>
  <c r="G15" i="13"/>
  <c r="I15" i="13"/>
  <c r="K15" i="13"/>
  <c r="M15" i="13"/>
  <c r="O15" i="13"/>
  <c r="E16" i="13"/>
  <c r="G16" i="13"/>
  <c r="I16" i="13"/>
  <c r="K16" i="13"/>
  <c r="M16" i="13"/>
  <c r="O16" i="13"/>
  <c r="E17" i="13"/>
  <c r="G17" i="13"/>
  <c r="I17" i="13"/>
  <c r="K17" i="13"/>
  <c r="M17" i="13"/>
  <c r="O17" i="13"/>
  <c r="E9" i="13" s="1"/>
  <c r="I13" i="12" s="1"/>
  <c r="E18" i="13"/>
  <c r="G18" i="13"/>
  <c r="I18" i="13"/>
  <c r="K18" i="13"/>
  <c r="M18" i="13"/>
  <c r="O18" i="13"/>
  <c r="E19" i="13"/>
  <c r="G19" i="13"/>
  <c r="I19" i="13"/>
  <c r="K19" i="13"/>
  <c r="M19" i="13"/>
  <c r="O19" i="13"/>
  <c r="E20" i="13"/>
  <c r="G20" i="13"/>
  <c r="I20" i="13"/>
  <c r="K20" i="13"/>
  <c r="M20" i="13"/>
  <c r="O20" i="13"/>
  <c r="E21" i="13"/>
  <c r="G21" i="13"/>
  <c r="I21" i="13"/>
  <c r="K21" i="13"/>
  <c r="M21" i="13"/>
  <c r="O21" i="13"/>
  <c r="E22" i="13"/>
  <c r="G22" i="13"/>
  <c r="I22" i="13"/>
  <c r="K22" i="13"/>
  <c r="M22" i="13"/>
  <c r="O22" i="13"/>
  <c r="E23" i="13"/>
  <c r="G23" i="13"/>
  <c r="I23" i="13"/>
  <c r="K23" i="13"/>
  <c r="M23" i="13"/>
  <c r="O23" i="13"/>
  <c r="E24" i="13"/>
  <c r="G24" i="13"/>
  <c r="I24" i="13"/>
  <c r="K24" i="13"/>
  <c r="M24" i="13"/>
  <c r="O24" i="13"/>
  <c r="E25" i="13"/>
  <c r="G25" i="13"/>
  <c r="I25" i="13"/>
  <c r="K25" i="13"/>
  <c r="M25" i="13"/>
  <c r="O25" i="13"/>
  <c r="E26" i="13"/>
  <c r="G26" i="13"/>
  <c r="I26" i="13"/>
  <c r="K26" i="13"/>
  <c r="M26" i="13"/>
  <c r="O26" i="13"/>
  <c r="E27" i="13"/>
  <c r="G27" i="13"/>
  <c r="I27" i="13"/>
  <c r="K27" i="13"/>
  <c r="M27" i="13"/>
  <c r="O27" i="13"/>
  <c r="E28" i="13"/>
  <c r="G28" i="13"/>
  <c r="I28" i="13"/>
  <c r="K28" i="13"/>
  <c r="M28" i="13"/>
  <c r="O28" i="13"/>
  <c r="E29" i="13"/>
  <c r="G29" i="13"/>
  <c r="I29" i="13"/>
  <c r="K29" i="13"/>
  <c r="M29" i="13"/>
  <c r="O29" i="13"/>
  <c r="E30" i="13"/>
  <c r="G30" i="13"/>
  <c r="I30" i="13"/>
  <c r="K30" i="13"/>
  <c r="M30" i="13"/>
  <c r="O30" i="13"/>
  <c r="E31" i="13"/>
  <c r="G31" i="13"/>
  <c r="I31" i="13"/>
  <c r="K31" i="13"/>
  <c r="M31" i="13"/>
  <c r="O31" i="13"/>
  <c r="E32" i="13"/>
  <c r="G32" i="13"/>
  <c r="I32" i="13"/>
  <c r="K32" i="13"/>
  <c r="M32" i="13"/>
  <c r="O32" i="13"/>
  <c r="E33" i="13"/>
  <c r="G33" i="13"/>
  <c r="I33" i="13"/>
  <c r="K33" i="13"/>
  <c r="M33" i="13"/>
  <c r="O33" i="13"/>
  <c r="E34" i="13"/>
  <c r="G34" i="13"/>
  <c r="I34" i="13"/>
  <c r="K34" i="13"/>
  <c r="M34" i="13"/>
  <c r="O34" i="13"/>
  <c r="E35" i="13"/>
  <c r="G35" i="13"/>
  <c r="I35" i="13"/>
  <c r="K35" i="13"/>
  <c r="M35" i="13"/>
  <c r="O35" i="13"/>
  <c r="E36" i="13"/>
  <c r="G36" i="13"/>
  <c r="I36" i="13"/>
  <c r="K36" i="13"/>
  <c r="M36" i="13"/>
  <c r="O36" i="13"/>
  <c r="E37" i="13"/>
  <c r="G37" i="13"/>
  <c r="I37" i="13"/>
  <c r="K37" i="13"/>
  <c r="M37" i="13"/>
  <c r="O37" i="13"/>
  <c r="E38" i="13"/>
  <c r="G38" i="13"/>
  <c r="I38" i="13"/>
  <c r="K38" i="13"/>
  <c r="M38" i="13"/>
  <c r="O38" i="13"/>
  <c r="E39" i="13"/>
  <c r="G39" i="13"/>
  <c r="I39" i="13"/>
  <c r="K39" i="13"/>
  <c r="M39" i="13"/>
  <c r="O39" i="13"/>
  <c r="E40" i="13"/>
  <c r="G40" i="13"/>
  <c r="I40" i="13"/>
  <c r="K40" i="13"/>
  <c r="M40" i="13"/>
  <c r="O40" i="13"/>
  <c r="E41" i="13"/>
  <c r="G41" i="13"/>
  <c r="I41" i="13"/>
  <c r="K41" i="13"/>
  <c r="M41" i="13"/>
  <c r="O41" i="13"/>
  <c r="E42" i="13"/>
  <c r="G42" i="13"/>
  <c r="I42" i="13"/>
  <c r="K42" i="13"/>
  <c r="M42" i="13"/>
  <c r="O42" i="13"/>
  <c r="E43" i="13"/>
  <c r="G43" i="13"/>
  <c r="I43" i="13"/>
  <c r="K43" i="13"/>
  <c r="M43" i="13"/>
  <c r="O43" i="13"/>
  <c r="E44" i="13"/>
  <c r="G44" i="13"/>
  <c r="I44" i="13"/>
  <c r="K44" i="13"/>
  <c r="M44" i="13"/>
  <c r="O44" i="13"/>
  <c r="E45" i="13"/>
  <c r="G45" i="13"/>
  <c r="I45" i="13"/>
  <c r="K45" i="13"/>
  <c r="M45" i="13"/>
  <c r="O45" i="13"/>
  <c r="E46" i="13"/>
  <c r="G46" i="13"/>
  <c r="I46" i="13"/>
  <c r="K46" i="13"/>
  <c r="M46" i="13"/>
  <c r="O46" i="13"/>
  <c r="E47" i="13"/>
  <c r="G47" i="13"/>
  <c r="I47" i="13"/>
  <c r="K47" i="13"/>
  <c r="M47" i="13"/>
  <c r="O47" i="13"/>
  <c r="E48" i="13"/>
  <c r="G48" i="13"/>
  <c r="I48" i="13"/>
  <c r="K48" i="13"/>
  <c r="M48" i="13"/>
  <c r="O48" i="13"/>
  <c r="E49" i="13"/>
  <c r="G49" i="13"/>
  <c r="I49" i="13"/>
  <c r="K49" i="13"/>
  <c r="M49" i="13"/>
  <c r="O49" i="13"/>
  <c r="E50" i="13"/>
  <c r="G50" i="13"/>
  <c r="I50" i="13"/>
  <c r="K50" i="13"/>
  <c r="M50" i="13"/>
  <c r="O50" i="13"/>
  <c r="E51" i="13"/>
  <c r="G51" i="13"/>
  <c r="I51" i="13"/>
  <c r="K51" i="13"/>
  <c r="M51" i="13"/>
  <c r="O51" i="13"/>
  <c r="E52" i="13"/>
  <c r="G52" i="13"/>
  <c r="I52" i="13"/>
  <c r="K52" i="13"/>
  <c r="M52" i="13"/>
  <c r="O52" i="13"/>
  <c r="E53" i="13"/>
  <c r="G53" i="13"/>
  <c r="I53" i="13"/>
  <c r="K53" i="13"/>
  <c r="M53" i="13"/>
  <c r="O53" i="13"/>
  <c r="E54" i="13"/>
  <c r="G54" i="13"/>
  <c r="I54" i="13"/>
  <c r="K54" i="13"/>
  <c r="M54" i="13"/>
  <c r="O54" i="13"/>
  <c r="E55" i="13"/>
  <c r="G55" i="13"/>
  <c r="I55" i="13"/>
  <c r="K55" i="13"/>
  <c r="M55" i="13"/>
  <c r="O55" i="13"/>
  <c r="E56" i="13"/>
  <c r="G56" i="13"/>
  <c r="I56" i="13"/>
  <c r="K56" i="13"/>
  <c r="M56" i="13"/>
  <c r="O56" i="13"/>
  <c r="E57" i="13"/>
  <c r="G57" i="13"/>
  <c r="I57" i="13"/>
  <c r="K57" i="13"/>
  <c r="M57" i="13"/>
  <c r="O57" i="13"/>
  <c r="E58" i="13"/>
  <c r="G58" i="13"/>
  <c r="I58" i="13"/>
  <c r="K58" i="13"/>
  <c r="M58" i="13"/>
  <c r="O58" i="13"/>
  <c r="E59" i="13"/>
  <c r="G59" i="13"/>
  <c r="I59" i="13"/>
  <c r="K59" i="13"/>
  <c r="M59" i="13"/>
  <c r="O59" i="13"/>
  <c r="E60" i="13"/>
  <c r="G60" i="13"/>
  <c r="I60" i="13"/>
  <c r="K60" i="13"/>
  <c r="M60" i="13"/>
  <c r="O60" i="13"/>
  <c r="E61" i="13"/>
  <c r="G61" i="13"/>
  <c r="I61" i="13"/>
  <c r="K61" i="13"/>
  <c r="M61" i="13"/>
  <c r="O61" i="13"/>
  <c r="E62" i="13"/>
  <c r="G62" i="13"/>
  <c r="I62" i="13"/>
  <c r="K62" i="13"/>
  <c r="M62" i="13"/>
  <c r="O62" i="13"/>
  <c r="E63" i="13"/>
  <c r="G63" i="13"/>
  <c r="I63" i="13"/>
  <c r="K63" i="13"/>
  <c r="M63" i="13"/>
  <c r="O63" i="13"/>
  <c r="E64" i="13"/>
  <c r="G64" i="13"/>
  <c r="I64" i="13"/>
  <c r="K64" i="13"/>
  <c r="M64" i="13"/>
  <c r="O64" i="13"/>
  <c r="E65" i="13"/>
  <c r="G65" i="13"/>
  <c r="I65" i="13"/>
  <c r="K65" i="13"/>
  <c r="M65" i="13"/>
  <c r="O65" i="13"/>
  <c r="E66" i="13"/>
  <c r="G66" i="13"/>
  <c r="I66" i="13"/>
  <c r="K66" i="13"/>
  <c r="M66" i="13"/>
  <c r="O66" i="13"/>
  <c r="E67" i="13"/>
  <c r="G67" i="13"/>
  <c r="I67" i="13"/>
  <c r="K67" i="13"/>
  <c r="M67" i="13"/>
  <c r="O67" i="13"/>
  <c r="E68" i="13"/>
  <c r="G68" i="13"/>
  <c r="I68" i="13"/>
  <c r="K68" i="13"/>
  <c r="M68" i="13"/>
  <c r="O68" i="13"/>
  <c r="E69" i="13"/>
  <c r="G69" i="13"/>
  <c r="I69" i="13"/>
  <c r="K69" i="13"/>
  <c r="M69" i="13"/>
  <c r="O69" i="13"/>
  <c r="E70" i="13"/>
  <c r="G70" i="13"/>
  <c r="I70" i="13"/>
  <c r="K70" i="13"/>
  <c r="M70" i="13"/>
  <c r="O70" i="13"/>
  <c r="E71" i="13"/>
  <c r="G71" i="13"/>
  <c r="I71" i="13"/>
  <c r="K71" i="13"/>
  <c r="M71" i="13"/>
  <c r="O71" i="13"/>
  <c r="E72" i="13"/>
  <c r="G72" i="13"/>
  <c r="I72" i="13"/>
  <c r="K72" i="13"/>
  <c r="M72" i="13"/>
  <c r="O72" i="13"/>
  <c r="E73" i="13"/>
  <c r="G73" i="13"/>
  <c r="I73" i="13"/>
  <c r="K73" i="13"/>
  <c r="M73" i="13"/>
  <c r="O73" i="13"/>
  <c r="E74" i="13"/>
  <c r="G74" i="13"/>
  <c r="I74" i="13"/>
  <c r="K74" i="13"/>
  <c r="M74" i="13"/>
  <c r="O74" i="13"/>
  <c r="E75" i="13"/>
  <c r="G75" i="13"/>
  <c r="I75" i="13"/>
  <c r="K75" i="13"/>
  <c r="M75" i="13"/>
  <c r="O75" i="13"/>
  <c r="E76" i="13"/>
  <c r="G76" i="13"/>
  <c r="I76" i="13"/>
  <c r="K76" i="13"/>
  <c r="M76" i="13"/>
  <c r="O76" i="13"/>
  <c r="E77" i="13"/>
  <c r="G77" i="13"/>
  <c r="I77" i="13"/>
  <c r="K77" i="13"/>
  <c r="M77" i="13"/>
  <c r="O77" i="13"/>
  <c r="E78" i="13"/>
  <c r="G78" i="13"/>
  <c r="I78" i="13"/>
  <c r="K78" i="13"/>
  <c r="M78" i="13"/>
  <c r="O78" i="13"/>
  <c r="E79" i="13"/>
  <c r="G79" i="13"/>
  <c r="I79" i="13"/>
  <c r="K79" i="13"/>
  <c r="M79" i="13"/>
  <c r="O79" i="13"/>
  <c r="E80" i="13"/>
  <c r="G80" i="13"/>
  <c r="I80" i="13"/>
  <c r="K80" i="13"/>
  <c r="M80" i="13"/>
  <c r="O80" i="13"/>
  <c r="E81" i="13"/>
  <c r="G81" i="13"/>
  <c r="I81" i="13"/>
  <c r="K81" i="13"/>
  <c r="M81" i="13"/>
  <c r="O81" i="13"/>
  <c r="E82" i="13"/>
  <c r="G82" i="13"/>
  <c r="I82" i="13"/>
  <c r="K82" i="13"/>
  <c r="M82" i="13"/>
  <c r="O82" i="13"/>
  <c r="E83" i="13"/>
  <c r="G83" i="13"/>
  <c r="I83" i="13"/>
  <c r="K83" i="13"/>
  <c r="M83" i="13"/>
  <c r="O83" i="13"/>
  <c r="E84" i="13"/>
  <c r="G84" i="13"/>
  <c r="I84" i="13"/>
  <c r="K84" i="13"/>
  <c r="M84" i="13"/>
  <c r="O84" i="13"/>
  <c r="E85" i="13"/>
  <c r="G85" i="13"/>
  <c r="I85" i="13"/>
  <c r="K85" i="13"/>
  <c r="M85" i="13"/>
  <c r="O85" i="13"/>
  <c r="E86" i="13"/>
  <c r="G86" i="13"/>
  <c r="I86" i="13"/>
  <c r="K86" i="13"/>
  <c r="M86" i="13"/>
  <c r="O86" i="13"/>
  <c r="E87" i="13"/>
  <c r="G87" i="13"/>
  <c r="I87" i="13"/>
  <c r="K87" i="13"/>
  <c r="M87" i="13"/>
  <c r="O87" i="13"/>
  <c r="E88" i="13"/>
  <c r="G88" i="13"/>
  <c r="I88" i="13"/>
  <c r="K88" i="13"/>
  <c r="M88" i="13"/>
  <c r="O88" i="13"/>
  <c r="E89" i="13"/>
  <c r="G89" i="13"/>
  <c r="I89" i="13"/>
  <c r="K89" i="13"/>
  <c r="M89" i="13"/>
  <c r="O89" i="13"/>
  <c r="E90" i="13"/>
  <c r="G90" i="13"/>
  <c r="I90" i="13"/>
  <c r="K90" i="13"/>
  <c r="M90" i="13"/>
  <c r="O90" i="13"/>
  <c r="E91" i="13"/>
  <c r="G91" i="13"/>
  <c r="I91" i="13"/>
  <c r="K91" i="13"/>
  <c r="M91" i="13"/>
  <c r="O91" i="13"/>
  <c r="E92" i="13"/>
  <c r="G92" i="13"/>
  <c r="I92" i="13"/>
  <c r="K92" i="13"/>
  <c r="M92" i="13"/>
  <c r="O92" i="13"/>
  <c r="E93" i="13"/>
  <c r="G93" i="13"/>
  <c r="I93" i="13"/>
  <c r="K93" i="13"/>
  <c r="M93" i="13"/>
  <c r="O93" i="13"/>
  <c r="E94" i="13"/>
  <c r="G94" i="13"/>
  <c r="I94" i="13"/>
  <c r="K94" i="13"/>
  <c r="M94" i="13"/>
  <c r="O94" i="13"/>
  <c r="E95" i="13"/>
  <c r="G95" i="13"/>
  <c r="I95" i="13"/>
  <c r="K95" i="13"/>
  <c r="M95" i="13"/>
  <c r="O95" i="13"/>
  <c r="E96" i="13"/>
  <c r="G96" i="13"/>
  <c r="I96" i="13"/>
  <c r="K96" i="13"/>
  <c r="M96" i="13"/>
  <c r="O96" i="13"/>
  <c r="E97" i="13"/>
  <c r="G97" i="13"/>
  <c r="I97" i="13"/>
  <c r="K97" i="13"/>
  <c r="M97" i="13"/>
  <c r="O97" i="13"/>
  <c r="E98" i="13"/>
  <c r="G98" i="13"/>
  <c r="I98" i="13"/>
  <c r="K98" i="13"/>
  <c r="M98" i="13"/>
  <c r="O98" i="13"/>
  <c r="E99" i="13"/>
  <c r="G99" i="13"/>
  <c r="I99" i="13"/>
  <c r="K99" i="13"/>
  <c r="M99" i="13"/>
  <c r="O99" i="13"/>
  <c r="E100" i="13"/>
  <c r="G100" i="13"/>
  <c r="I100" i="13"/>
  <c r="K100" i="13"/>
  <c r="M100" i="13"/>
  <c r="O100" i="13"/>
  <c r="E101" i="13"/>
  <c r="G101" i="13"/>
  <c r="I101" i="13"/>
  <c r="K101" i="13"/>
  <c r="M101" i="13"/>
  <c r="O101" i="13"/>
  <c r="E102" i="13"/>
  <c r="G102" i="13"/>
  <c r="I102" i="13"/>
  <c r="K102" i="13"/>
  <c r="M102" i="13"/>
  <c r="O102" i="13"/>
  <c r="E103" i="13"/>
  <c r="G103" i="13"/>
  <c r="I103" i="13"/>
  <c r="K103" i="13"/>
  <c r="M103" i="13"/>
  <c r="O103" i="13"/>
  <c r="E104" i="13"/>
  <c r="G104" i="13"/>
  <c r="I104" i="13"/>
  <c r="K104" i="13"/>
  <c r="M104" i="13"/>
  <c r="O104" i="13"/>
  <c r="E105" i="13"/>
  <c r="G105" i="13"/>
  <c r="I105" i="13"/>
  <c r="K105" i="13"/>
  <c r="M105" i="13"/>
  <c r="O105" i="13"/>
  <c r="E106" i="13"/>
  <c r="G106" i="13"/>
  <c r="I106" i="13"/>
  <c r="K106" i="13"/>
  <c r="M106" i="13"/>
  <c r="O106" i="13"/>
  <c r="E107" i="13"/>
  <c r="G107" i="13"/>
  <c r="I107" i="13"/>
  <c r="K107" i="13"/>
  <c r="M107" i="13"/>
  <c r="O107" i="13"/>
  <c r="E108" i="13"/>
  <c r="G108" i="13"/>
  <c r="I108" i="13"/>
  <c r="K108" i="13"/>
  <c r="M108" i="13"/>
  <c r="O108" i="13"/>
  <c r="E109" i="13"/>
  <c r="G109" i="13"/>
  <c r="I109" i="13"/>
  <c r="K109" i="13"/>
  <c r="M109" i="13"/>
  <c r="O109" i="13"/>
  <c r="E110" i="13"/>
  <c r="G110" i="13"/>
  <c r="I110" i="13"/>
  <c r="K110" i="13"/>
  <c r="M110" i="13"/>
  <c r="O110" i="13"/>
  <c r="E111" i="13"/>
  <c r="G111" i="13"/>
  <c r="I111" i="13"/>
  <c r="K111" i="13"/>
  <c r="M111" i="13"/>
  <c r="O111" i="13"/>
  <c r="E112" i="13"/>
  <c r="G112" i="13"/>
  <c r="I112" i="13"/>
  <c r="K112" i="13"/>
  <c r="M112" i="13"/>
  <c r="O112" i="13"/>
  <c r="E113" i="13"/>
  <c r="G113" i="13"/>
  <c r="I113" i="13"/>
  <c r="K113" i="13"/>
  <c r="M113" i="13"/>
  <c r="O113" i="13"/>
  <c r="E114" i="13"/>
  <c r="G114" i="13"/>
  <c r="I114" i="13"/>
  <c r="K114" i="13"/>
  <c r="M114" i="13"/>
  <c r="O114" i="13"/>
  <c r="E115" i="13"/>
  <c r="G115" i="13"/>
  <c r="I115" i="13"/>
  <c r="K115" i="13"/>
  <c r="M115" i="13"/>
  <c r="O115" i="13"/>
  <c r="E116" i="13"/>
  <c r="G116" i="13"/>
  <c r="I116" i="13"/>
  <c r="K116" i="13"/>
  <c r="M116" i="13"/>
  <c r="O116" i="13"/>
  <c r="E117" i="13"/>
  <c r="G117" i="13"/>
  <c r="I117" i="13"/>
  <c r="K117" i="13"/>
  <c r="M117" i="13"/>
  <c r="O117" i="13"/>
  <c r="E118" i="13"/>
  <c r="G118" i="13"/>
  <c r="I118" i="13"/>
  <c r="K118" i="13"/>
  <c r="M118" i="13"/>
  <c r="O118" i="13"/>
  <c r="E119" i="13"/>
  <c r="G119" i="13"/>
  <c r="I119" i="13"/>
  <c r="K119" i="13"/>
  <c r="M119" i="13"/>
  <c r="O119" i="13"/>
  <c r="E120" i="13"/>
  <c r="G120" i="13"/>
  <c r="I120" i="13"/>
  <c r="K120" i="13"/>
  <c r="M120" i="13"/>
  <c r="O120" i="13"/>
  <c r="E121" i="13"/>
  <c r="G121" i="13"/>
  <c r="I121" i="13"/>
  <c r="K121" i="13"/>
  <c r="M121" i="13"/>
  <c r="O121" i="13"/>
  <c r="E122" i="13"/>
  <c r="G122" i="13"/>
  <c r="I122" i="13"/>
  <c r="K122" i="13"/>
  <c r="M122" i="13"/>
  <c r="O122" i="13"/>
  <c r="E123" i="13"/>
  <c r="G123" i="13"/>
  <c r="I123" i="13"/>
  <c r="K123" i="13"/>
  <c r="M123" i="13"/>
  <c r="O123" i="13"/>
  <c r="E124" i="13"/>
  <c r="G124" i="13"/>
  <c r="I124" i="13"/>
  <c r="K124" i="13"/>
  <c r="M124" i="13"/>
  <c r="O124" i="13"/>
  <c r="E125" i="13"/>
  <c r="G125" i="13"/>
  <c r="I125" i="13"/>
  <c r="K125" i="13"/>
  <c r="M125" i="13"/>
  <c r="O125" i="13"/>
  <c r="E126" i="13"/>
  <c r="G126" i="13"/>
  <c r="I126" i="13"/>
  <c r="K126" i="13"/>
  <c r="M126" i="13"/>
  <c r="O126" i="13"/>
  <c r="E127" i="13"/>
  <c r="G127" i="13"/>
  <c r="I127" i="13"/>
  <c r="K127" i="13"/>
  <c r="M127" i="13"/>
  <c r="O127" i="13"/>
  <c r="E128" i="13"/>
  <c r="G128" i="13"/>
  <c r="I128" i="13"/>
  <c r="K128" i="13"/>
  <c r="M128" i="13"/>
  <c r="O128" i="13"/>
  <c r="E129" i="13"/>
  <c r="G129" i="13"/>
  <c r="I129" i="13"/>
  <c r="K129" i="13"/>
  <c r="M129" i="13"/>
  <c r="O129" i="13"/>
  <c r="E130" i="13"/>
  <c r="G130" i="13"/>
  <c r="I130" i="13"/>
  <c r="K130" i="13"/>
  <c r="M130" i="13"/>
  <c r="O130" i="13"/>
  <c r="E131" i="13"/>
  <c r="G131" i="13"/>
  <c r="I131" i="13"/>
  <c r="K131" i="13"/>
  <c r="M131" i="13"/>
  <c r="O131" i="13"/>
  <c r="E132" i="13"/>
  <c r="G132" i="13"/>
  <c r="I132" i="13"/>
  <c r="K132" i="13"/>
  <c r="M132" i="13"/>
  <c r="O132" i="13"/>
  <c r="E133" i="13"/>
  <c r="G133" i="13"/>
  <c r="I133" i="13"/>
  <c r="K133" i="13"/>
  <c r="M133" i="13"/>
  <c r="O133" i="13"/>
  <c r="E134" i="13"/>
  <c r="G134" i="13"/>
  <c r="I134" i="13"/>
  <c r="K134" i="13"/>
  <c r="M134" i="13"/>
  <c r="O134" i="13"/>
  <c r="E135" i="13"/>
  <c r="G135" i="13"/>
  <c r="I135" i="13"/>
  <c r="K135" i="13"/>
  <c r="M135" i="13"/>
  <c r="O135" i="13"/>
  <c r="E136" i="13"/>
  <c r="G136" i="13"/>
  <c r="I136" i="13"/>
  <c r="K136" i="13"/>
  <c r="M136" i="13"/>
  <c r="O136" i="13"/>
  <c r="E137" i="13"/>
  <c r="G137" i="13"/>
  <c r="I137" i="13"/>
  <c r="K137" i="13"/>
  <c r="M137" i="13"/>
  <c r="O137" i="13"/>
  <c r="E138" i="13"/>
  <c r="G138" i="13"/>
  <c r="I138" i="13"/>
  <c r="K138" i="13"/>
  <c r="M138" i="13"/>
  <c r="O138" i="13"/>
  <c r="E139" i="13"/>
  <c r="G139" i="13"/>
  <c r="I139" i="13"/>
  <c r="K139" i="13"/>
  <c r="M139" i="13"/>
  <c r="O139" i="13"/>
  <c r="E140" i="13"/>
  <c r="G140" i="13"/>
  <c r="I140" i="13"/>
  <c r="K140" i="13"/>
  <c r="M140" i="13"/>
  <c r="O140" i="13"/>
  <c r="E141" i="13"/>
  <c r="G141" i="13"/>
  <c r="I141" i="13"/>
  <c r="K141" i="13"/>
  <c r="M141" i="13"/>
  <c r="O141" i="13"/>
  <c r="E142" i="13"/>
  <c r="G142" i="13"/>
  <c r="I142" i="13"/>
  <c r="K142" i="13"/>
  <c r="M142" i="13"/>
  <c r="O142" i="13"/>
  <c r="E143" i="13"/>
  <c r="G143" i="13"/>
  <c r="I143" i="13"/>
  <c r="K143" i="13"/>
  <c r="M143" i="13"/>
  <c r="O143" i="13"/>
  <c r="E144" i="13"/>
  <c r="G144" i="13"/>
  <c r="I144" i="13"/>
  <c r="K144" i="13"/>
  <c r="M144" i="13"/>
  <c r="O144" i="13"/>
  <c r="E145" i="13"/>
  <c r="G145" i="13"/>
  <c r="I145" i="13"/>
  <c r="K145" i="13"/>
  <c r="M145" i="13"/>
  <c r="O145" i="13"/>
  <c r="E146" i="13"/>
  <c r="G146" i="13"/>
  <c r="I146" i="13"/>
  <c r="K146" i="13"/>
  <c r="M146" i="13"/>
  <c r="O146" i="13"/>
  <c r="E147" i="13"/>
  <c r="G147" i="13"/>
  <c r="I147" i="13"/>
  <c r="K147" i="13"/>
  <c r="M147" i="13"/>
  <c r="O147" i="13"/>
  <c r="E148" i="13"/>
  <c r="G148" i="13"/>
  <c r="I148" i="13"/>
  <c r="K148" i="13"/>
  <c r="M148" i="13"/>
  <c r="O148" i="13"/>
  <c r="E149" i="13"/>
  <c r="G149" i="13"/>
  <c r="I149" i="13"/>
  <c r="K149" i="13"/>
  <c r="M149" i="13"/>
  <c r="O149" i="13"/>
  <c r="E150" i="13"/>
  <c r="G150" i="13"/>
  <c r="I150" i="13"/>
  <c r="K150" i="13"/>
  <c r="M150" i="13"/>
  <c r="O150" i="13"/>
  <c r="E151" i="13"/>
  <c r="G151" i="13"/>
  <c r="I151" i="13"/>
  <c r="K151" i="13"/>
  <c r="M151" i="13"/>
  <c r="O151" i="13"/>
  <c r="E152" i="13"/>
  <c r="G152" i="13"/>
  <c r="I152" i="13"/>
  <c r="K152" i="13"/>
  <c r="M152" i="13"/>
  <c r="O152" i="13"/>
  <c r="E153" i="13"/>
  <c r="G153" i="13"/>
  <c r="I153" i="13"/>
  <c r="K153" i="13"/>
  <c r="M153" i="13"/>
  <c r="O153" i="13"/>
  <c r="E154" i="13"/>
  <c r="G154" i="13"/>
  <c r="I154" i="13"/>
  <c r="K154" i="13"/>
  <c r="M154" i="13"/>
  <c r="O154" i="13"/>
  <c r="E155" i="13"/>
  <c r="G155" i="13"/>
  <c r="I155" i="13"/>
  <c r="K155" i="13"/>
  <c r="M155" i="13"/>
  <c r="O155" i="13"/>
  <c r="E156" i="13"/>
  <c r="G156" i="13"/>
  <c r="I156" i="13"/>
  <c r="K156" i="13"/>
  <c r="M156" i="13"/>
  <c r="O156" i="13"/>
  <c r="E157" i="13"/>
  <c r="G157" i="13"/>
  <c r="I157" i="13"/>
  <c r="K157" i="13"/>
  <c r="M157" i="13"/>
  <c r="O157" i="13"/>
  <c r="E158" i="13"/>
  <c r="G158" i="13"/>
  <c r="I158" i="13"/>
  <c r="K158" i="13"/>
  <c r="M158" i="13"/>
  <c r="O158" i="13"/>
  <c r="E159" i="13"/>
  <c r="G159" i="13"/>
  <c r="I159" i="13"/>
  <c r="K159" i="13"/>
  <c r="M159" i="13"/>
  <c r="O159" i="13"/>
  <c r="E160" i="13"/>
  <c r="G160" i="13"/>
  <c r="I160" i="13"/>
  <c r="K160" i="13"/>
  <c r="M160" i="13"/>
  <c r="O160" i="13"/>
  <c r="E161" i="13"/>
  <c r="G161" i="13"/>
  <c r="I161" i="13"/>
  <c r="K161" i="13"/>
  <c r="M161" i="13"/>
  <c r="O161" i="13"/>
  <c r="E162" i="13"/>
  <c r="G162" i="13"/>
  <c r="I162" i="13"/>
  <c r="K162" i="13"/>
  <c r="M162" i="13"/>
  <c r="O162" i="13"/>
  <c r="E163" i="13"/>
  <c r="G163" i="13"/>
  <c r="I163" i="13"/>
  <c r="K163" i="13"/>
  <c r="M163" i="13"/>
  <c r="O163" i="13"/>
  <c r="E164" i="13"/>
  <c r="G164" i="13"/>
  <c r="I164" i="13"/>
  <c r="K164" i="13"/>
  <c r="M164" i="13"/>
  <c r="O164" i="13"/>
  <c r="E165" i="13"/>
  <c r="G165" i="13"/>
  <c r="I165" i="13"/>
  <c r="K165" i="13"/>
  <c r="M165" i="13"/>
  <c r="O165" i="13"/>
  <c r="E166" i="13"/>
  <c r="G166" i="13"/>
  <c r="I166" i="13"/>
  <c r="K166" i="13"/>
  <c r="M166" i="13"/>
  <c r="O166" i="13"/>
  <c r="E167" i="13"/>
  <c r="G167" i="13"/>
  <c r="I167" i="13"/>
  <c r="K167" i="13"/>
  <c r="M167" i="13"/>
  <c r="O167" i="13"/>
  <c r="E168" i="13"/>
  <c r="G168" i="13"/>
  <c r="I168" i="13"/>
  <c r="K168" i="13"/>
  <c r="M168" i="13"/>
  <c r="O168" i="13"/>
  <c r="E169" i="13"/>
  <c r="G169" i="13"/>
  <c r="I169" i="13"/>
  <c r="K169" i="13"/>
  <c r="M169" i="13"/>
  <c r="O169" i="13"/>
  <c r="E170" i="13"/>
  <c r="G170" i="13"/>
  <c r="I170" i="13"/>
  <c r="K170" i="13"/>
  <c r="M170" i="13"/>
  <c r="O170" i="13"/>
  <c r="E171" i="13"/>
  <c r="G171" i="13"/>
  <c r="I171" i="13"/>
  <c r="K171" i="13"/>
  <c r="M171" i="13"/>
  <c r="O171" i="13"/>
  <c r="E172" i="13"/>
  <c r="G172" i="13"/>
  <c r="I172" i="13"/>
  <c r="K172" i="13"/>
  <c r="M172" i="13"/>
  <c r="O172" i="13"/>
  <c r="E173" i="13"/>
  <c r="G173" i="13"/>
  <c r="I173" i="13"/>
  <c r="K173" i="13"/>
  <c r="M173" i="13"/>
  <c r="O173" i="13"/>
  <c r="E174" i="13"/>
  <c r="G174" i="13"/>
  <c r="I174" i="13"/>
  <c r="K174" i="13"/>
  <c r="M174" i="13"/>
  <c r="O174" i="13"/>
  <c r="E175" i="13"/>
  <c r="G175" i="13"/>
  <c r="I175" i="13"/>
  <c r="K175" i="13"/>
  <c r="M175" i="13"/>
  <c r="O175" i="13"/>
  <c r="E176" i="13"/>
  <c r="G176" i="13"/>
  <c r="I176" i="13"/>
  <c r="K176" i="13"/>
  <c r="M176" i="13"/>
  <c r="O176" i="13"/>
  <c r="E177" i="13"/>
  <c r="G177" i="13"/>
  <c r="I177" i="13"/>
  <c r="K177" i="13"/>
  <c r="M177" i="13"/>
  <c r="O177" i="13"/>
  <c r="E178" i="13"/>
  <c r="G178" i="13"/>
  <c r="I178" i="13"/>
  <c r="K178" i="13"/>
  <c r="M178" i="13"/>
  <c r="O178" i="13"/>
  <c r="E179" i="13"/>
  <c r="G179" i="13"/>
  <c r="I179" i="13"/>
  <c r="K179" i="13"/>
  <c r="M179" i="13"/>
  <c r="O179" i="13"/>
  <c r="E180" i="13"/>
  <c r="G180" i="13"/>
  <c r="I180" i="13"/>
  <c r="K180" i="13"/>
  <c r="M180" i="13"/>
  <c r="O180" i="13"/>
  <c r="E181" i="13"/>
  <c r="G181" i="13"/>
  <c r="I181" i="13"/>
  <c r="K181" i="13"/>
  <c r="M181" i="13"/>
  <c r="O181" i="13"/>
  <c r="E182" i="13"/>
  <c r="G182" i="13"/>
  <c r="I182" i="13"/>
  <c r="K182" i="13"/>
  <c r="M182" i="13"/>
  <c r="O182" i="13"/>
  <c r="E183" i="13"/>
  <c r="G183" i="13"/>
  <c r="I183" i="13"/>
  <c r="K183" i="13"/>
  <c r="M183" i="13"/>
  <c r="O183" i="13"/>
  <c r="E184" i="13"/>
  <c r="G184" i="13"/>
  <c r="I184" i="13"/>
  <c r="K184" i="13"/>
  <c r="M184" i="13"/>
  <c r="O184" i="13"/>
  <c r="E185" i="13"/>
  <c r="G185" i="13"/>
  <c r="I185" i="13"/>
  <c r="K185" i="13"/>
  <c r="M185" i="13"/>
  <c r="O185" i="13"/>
  <c r="E186" i="13"/>
  <c r="G186" i="13"/>
  <c r="I186" i="13"/>
  <c r="K186" i="13"/>
  <c r="M186" i="13"/>
  <c r="O186" i="13"/>
  <c r="E187" i="13"/>
  <c r="G187" i="13"/>
  <c r="I187" i="13"/>
  <c r="K187" i="13"/>
  <c r="M187" i="13"/>
  <c r="O187" i="13"/>
  <c r="E188" i="13"/>
  <c r="G188" i="13"/>
  <c r="I188" i="13"/>
  <c r="K188" i="13"/>
  <c r="M188" i="13"/>
  <c r="O188" i="13"/>
  <c r="E189" i="13"/>
  <c r="G189" i="13"/>
  <c r="I189" i="13"/>
  <c r="K189" i="13"/>
  <c r="M189" i="13"/>
  <c r="O189" i="13"/>
  <c r="E190" i="13"/>
  <c r="G190" i="13"/>
  <c r="I190" i="13"/>
  <c r="K190" i="13"/>
  <c r="M190" i="13"/>
  <c r="O190" i="13"/>
  <c r="E191" i="13"/>
  <c r="G191" i="13"/>
  <c r="I191" i="13"/>
  <c r="K191" i="13"/>
  <c r="M191" i="13"/>
  <c r="O191" i="13"/>
  <c r="E192" i="13"/>
  <c r="G192" i="13"/>
  <c r="I192" i="13"/>
  <c r="K192" i="13"/>
  <c r="M192" i="13"/>
  <c r="O192" i="13"/>
  <c r="E193" i="13"/>
  <c r="G193" i="13"/>
  <c r="I193" i="13"/>
  <c r="K193" i="13"/>
  <c r="M193" i="13"/>
  <c r="O193" i="13"/>
  <c r="G9" i="12"/>
  <c r="H9" i="12"/>
  <c r="G10" i="12"/>
  <c r="H10" i="12"/>
  <c r="G11" i="12"/>
  <c r="H11" i="12"/>
  <c r="G12" i="12"/>
  <c r="H12" i="12"/>
  <c r="G13" i="12"/>
  <c r="H13" i="12"/>
  <c r="F15" i="12"/>
  <c r="F16" i="12"/>
  <c r="E22" i="12" s="1"/>
  <c r="G16" i="12"/>
  <c r="H16" i="12"/>
  <c r="E21" i="12"/>
  <c r="J21" i="12"/>
  <c r="J22" i="12"/>
  <c r="C28" i="12"/>
  <c r="C29" i="12"/>
  <c r="C30" i="12" s="1"/>
  <c r="J11" i="12" l="1"/>
  <c r="G15" i="12"/>
  <c r="J13" i="12"/>
  <c r="H15" i="12"/>
  <c r="E28" i="12" s="1"/>
  <c r="N9" i="8"/>
  <c r="O9" i="8" s="1"/>
  <c r="P9" i="8" s="1"/>
  <c r="Q9" i="8" s="1"/>
  <c r="O11" i="8"/>
  <c r="J9" i="12"/>
  <c r="I16" i="12"/>
  <c r="J12" i="12"/>
  <c r="J10" i="12"/>
  <c r="D28" i="12"/>
  <c r="D29" i="12"/>
  <c r="J30" i="12"/>
  <c r="E23" i="12"/>
  <c r="D36" i="12" s="1"/>
  <c r="J16" i="12"/>
  <c r="J28" i="12" s="1"/>
  <c r="J15" i="12"/>
  <c r="I15" i="12"/>
  <c r="E36" i="12" l="1"/>
  <c r="E29" i="12"/>
  <c r="E37" i="12" s="1"/>
  <c r="P11" i="8"/>
  <c r="D30" i="12"/>
  <c r="D32" i="12"/>
  <c r="E32" i="12" l="1"/>
  <c r="J29" i="12" s="1"/>
  <c r="J31" i="12" s="1"/>
  <c r="J23" i="12" s="1"/>
  <c r="J24" i="12" s="1"/>
  <c r="D37" i="12" s="1"/>
  <c r="E38" i="12" s="1"/>
  <c r="O17" i="18" s="1"/>
  <c r="C21" i="9"/>
  <c r="D20" i="9"/>
  <c r="E20" i="9"/>
  <c r="E21" i="9" s="1"/>
  <c r="F20" i="9"/>
  <c r="F21" i="9" s="1"/>
  <c r="G20" i="9"/>
  <c r="G21" i="9" s="1"/>
  <c r="H20" i="9"/>
  <c r="I20" i="9"/>
  <c r="I21" i="9" s="1"/>
  <c r="J20" i="9"/>
  <c r="J21" i="9" s="1"/>
  <c r="K20" i="9"/>
  <c r="L20" i="9"/>
  <c r="L21" i="9" s="1"/>
  <c r="C20" i="9"/>
  <c r="D21" i="9" s="1"/>
  <c r="D19" i="9"/>
  <c r="E19" i="9"/>
  <c r="F19" i="9"/>
  <c r="G19" i="9"/>
  <c r="H19" i="9"/>
  <c r="I19" i="9"/>
  <c r="J19" i="9"/>
  <c r="K19" i="9"/>
  <c r="L19" i="9"/>
  <c r="C19" i="9"/>
  <c r="D19" i="8"/>
  <c r="E19" i="8"/>
  <c r="E20" i="8" s="1"/>
  <c r="F19" i="8"/>
  <c r="G19" i="8"/>
  <c r="H19" i="8"/>
  <c r="I20" i="8" s="1"/>
  <c r="I19" i="8"/>
  <c r="J19" i="8"/>
  <c r="J20" i="8" s="1"/>
  <c r="K19" i="8"/>
  <c r="L19" i="8"/>
  <c r="C19" i="8"/>
  <c r="D20" i="8" s="1"/>
  <c r="C18" i="8"/>
  <c r="D18" i="8" s="1"/>
  <c r="E18" i="8" s="1"/>
  <c r="F18" i="8" s="1"/>
  <c r="G18" i="8" s="1"/>
  <c r="H18" i="8" s="1"/>
  <c r="I18" i="8" s="1"/>
  <c r="J18" i="8" s="1"/>
  <c r="K18" i="8" s="1"/>
  <c r="L18" i="8" s="1"/>
  <c r="M18" i="8" s="1"/>
  <c r="N18" i="8" s="1"/>
  <c r="O18" i="8" s="1"/>
  <c r="P18" i="8" s="1"/>
  <c r="Q18" i="8" s="1"/>
  <c r="D9" i="8"/>
  <c r="E9" i="8"/>
  <c r="F9" i="8"/>
  <c r="G9" i="8"/>
  <c r="H9" i="8"/>
  <c r="I9" i="8"/>
  <c r="J9" i="8"/>
  <c r="K9" i="8"/>
  <c r="L9" i="8"/>
  <c r="C9" i="8"/>
  <c r="C8" i="8"/>
  <c r="D8" i="8" s="1"/>
  <c r="E8" i="8" s="1"/>
  <c r="F8" i="8" s="1"/>
  <c r="G8" i="8" s="1"/>
  <c r="H8" i="8" s="1"/>
  <c r="I8" i="8" s="1"/>
  <c r="J8" i="8" s="1"/>
  <c r="K8" i="8" s="1"/>
  <c r="L8" i="8" s="1"/>
  <c r="M8" i="8" s="1"/>
  <c r="N8" i="8" s="1"/>
  <c r="O8" i="8" s="1"/>
  <c r="P8" i="8" s="1"/>
  <c r="Q8" i="8" s="1"/>
  <c r="D6" i="9"/>
  <c r="E6" i="9"/>
  <c r="E7" i="9" s="1"/>
  <c r="F6" i="9"/>
  <c r="G6" i="9"/>
  <c r="G7" i="9" s="1"/>
  <c r="H6" i="9"/>
  <c r="I7" i="9" s="1"/>
  <c r="I6" i="9"/>
  <c r="J6" i="9"/>
  <c r="J7" i="9" s="1"/>
  <c r="K6" i="9"/>
  <c r="K7" i="9" s="1"/>
  <c r="L6" i="9"/>
  <c r="C6" i="9"/>
  <c r="D7" i="9" s="1"/>
  <c r="D5" i="9"/>
  <c r="E5" i="9"/>
  <c r="F5" i="9"/>
  <c r="G5" i="9"/>
  <c r="H5" i="9"/>
  <c r="I5" i="9"/>
  <c r="J5" i="9"/>
  <c r="K5" i="9"/>
  <c r="L5" i="9"/>
  <c r="C5" i="9"/>
  <c r="D13" i="9"/>
  <c r="E13" i="9"/>
  <c r="F13" i="9"/>
  <c r="G13" i="9"/>
  <c r="H13" i="9"/>
  <c r="I13" i="9"/>
  <c r="J13" i="9"/>
  <c r="K13" i="9"/>
  <c r="L13" i="9"/>
  <c r="C13" i="9"/>
  <c r="D11" i="9"/>
  <c r="E11" i="9"/>
  <c r="F11" i="9"/>
  <c r="G11" i="9"/>
  <c r="H11" i="9"/>
  <c r="I11" i="9"/>
  <c r="J11" i="9"/>
  <c r="K11" i="9"/>
  <c r="L11" i="9"/>
  <c r="D12" i="9"/>
  <c r="E12" i="9"/>
  <c r="F12" i="9"/>
  <c r="G12" i="9"/>
  <c r="H12" i="9"/>
  <c r="I12" i="9"/>
  <c r="J12" i="9"/>
  <c r="K12" i="9"/>
  <c r="L12" i="9"/>
  <c r="C11" i="9"/>
  <c r="C12" i="9"/>
  <c r="D8" i="9"/>
  <c r="D10" i="9" s="1"/>
  <c r="E8" i="9"/>
  <c r="E10" i="9" s="1"/>
  <c r="E16" i="9" s="1"/>
  <c r="F8" i="9"/>
  <c r="F10" i="9" s="1"/>
  <c r="G8" i="9"/>
  <c r="G10" i="9" s="1"/>
  <c r="G16" i="9" s="1"/>
  <c r="H8" i="9"/>
  <c r="H10" i="9" s="1"/>
  <c r="I8" i="9"/>
  <c r="I10" i="9" s="1"/>
  <c r="J8" i="9"/>
  <c r="J10" i="9" s="1"/>
  <c r="K8" i="9"/>
  <c r="K10" i="9" s="1"/>
  <c r="L8" i="9"/>
  <c r="L10" i="9" s="1"/>
  <c r="C8" i="9"/>
  <c r="C10" i="9" s="1"/>
  <c r="C16" i="9" s="1"/>
  <c r="D4" i="9"/>
  <c r="E4" i="9"/>
  <c r="F4" i="9"/>
  <c r="G4" i="9"/>
  <c r="H4" i="9"/>
  <c r="I4" i="9"/>
  <c r="J4" i="9"/>
  <c r="K4" i="9"/>
  <c r="L4" i="9"/>
  <c r="C4" i="9"/>
  <c r="C25" i="3"/>
  <c r="C31" i="3"/>
  <c r="E17" i="18" l="1"/>
  <c r="J17" i="18"/>
  <c r="T17" i="18"/>
  <c r="H16" i="9"/>
  <c r="J16" i="9"/>
  <c r="I16" i="9"/>
  <c r="K21" i="9"/>
  <c r="F16" i="9"/>
  <c r="H21" i="9"/>
  <c r="K16" i="9"/>
  <c r="I15" i="9"/>
  <c r="I17" i="9" s="1"/>
  <c r="I22" i="9" s="1"/>
  <c r="D16" i="9"/>
  <c r="L16" i="9"/>
  <c r="G20" i="8"/>
  <c r="K20" i="8"/>
  <c r="F20" i="8"/>
  <c r="H7" i="9"/>
  <c r="H15" i="9" s="1"/>
  <c r="H17" i="9" s="1"/>
  <c r="H22" i="9" s="1"/>
  <c r="C15" i="9"/>
  <c r="C17" i="9" s="1"/>
  <c r="C22" i="9" s="1"/>
  <c r="G15" i="9"/>
  <c r="G17" i="9" s="1"/>
  <c r="G22" i="9" s="1"/>
  <c r="L7" i="9"/>
  <c r="L15" i="9" s="1"/>
  <c r="L17" i="9" s="1"/>
  <c r="L22" i="9" s="1"/>
  <c r="H20" i="8"/>
  <c r="L20" i="8"/>
  <c r="K15" i="9"/>
  <c r="J15" i="9"/>
  <c r="J17" i="9" s="1"/>
  <c r="J22" i="9" s="1"/>
  <c r="F7" i="9"/>
  <c r="F15" i="9" s="1"/>
  <c r="F17" i="9" s="1"/>
  <c r="F22" i="9" s="1"/>
  <c r="E15" i="9"/>
  <c r="E17" i="9" s="1"/>
  <c r="E22" i="9" s="1"/>
  <c r="D15" i="9"/>
  <c r="D17" i="9" s="1"/>
  <c r="D22" i="9" s="1"/>
  <c r="O73" i="18" l="1"/>
  <c r="P73" i="18"/>
  <c r="Q73" i="18"/>
  <c r="R73" i="18"/>
  <c r="S73" i="18"/>
  <c r="S75" i="18"/>
  <c r="S76" i="18" s="1"/>
  <c r="K17" i="9"/>
  <c r="K22" i="9" s="1"/>
  <c r="C20" i="8"/>
  <c r="B2" i="7"/>
  <c r="L3" i="7"/>
  <c r="K3" i="7"/>
  <c r="J3" i="7"/>
  <c r="I3" i="7"/>
  <c r="H3" i="7"/>
  <c r="G3" i="7"/>
  <c r="F3" i="7"/>
  <c r="E3" i="7"/>
  <c r="D3" i="7"/>
  <c r="C3" i="7"/>
  <c r="G78" i="18" l="1"/>
  <c r="G81" i="18" s="1"/>
  <c r="G84" i="18" s="1"/>
  <c r="H4" i="18" s="1"/>
  <c r="H5" i="18" s="1"/>
  <c r="C96" i="3"/>
  <c r="D96" i="3"/>
  <c r="E96" i="3"/>
  <c r="F96" i="3"/>
  <c r="G96" i="3"/>
  <c r="H96" i="3"/>
  <c r="I96" i="3"/>
  <c r="J96" i="3"/>
  <c r="K96" i="3"/>
  <c r="L96" i="3"/>
  <c r="C97" i="3"/>
  <c r="D97" i="3"/>
  <c r="E97" i="3"/>
  <c r="F97" i="3"/>
  <c r="G97" i="3"/>
  <c r="H97" i="3"/>
  <c r="I97" i="3"/>
  <c r="J97" i="3"/>
  <c r="K97" i="3"/>
  <c r="L97" i="3"/>
  <c r="C98" i="3"/>
  <c r="D98" i="3"/>
  <c r="E98" i="3"/>
  <c r="F98" i="3"/>
  <c r="G98" i="3"/>
  <c r="H98" i="3"/>
  <c r="I98" i="3"/>
  <c r="J98" i="3"/>
  <c r="K98" i="3"/>
  <c r="L98" i="3"/>
  <c r="C99" i="3"/>
  <c r="D99" i="3"/>
  <c r="E99" i="3"/>
  <c r="F99" i="3"/>
  <c r="G99" i="3"/>
  <c r="H99" i="3"/>
  <c r="I99" i="3"/>
  <c r="J99" i="3"/>
  <c r="K99" i="3"/>
  <c r="L99" i="3"/>
  <c r="C100" i="3"/>
  <c r="D100" i="3"/>
  <c r="E100" i="3"/>
  <c r="F100" i="3"/>
  <c r="G100" i="3"/>
  <c r="H100" i="3"/>
  <c r="I100" i="3"/>
  <c r="J100" i="3"/>
  <c r="K100" i="3"/>
  <c r="L100" i="3"/>
  <c r="C101" i="3"/>
  <c r="D101" i="3"/>
  <c r="E101" i="3"/>
  <c r="F101" i="3"/>
  <c r="G101" i="3"/>
  <c r="H101" i="3"/>
  <c r="I101" i="3"/>
  <c r="J101" i="3"/>
  <c r="K101" i="3"/>
  <c r="L101" i="3"/>
  <c r="C102" i="3"/>
  <c r="D102" i="3"/>
  <c r="E102" i="3"/>
  <c r="F102" i="3"/>
  <c r="G102" i="3"/>
  <c r="H102" i="3"/>
  <c r="I102" i="3"/>
  <c r="J102" i="3"/>
  <c r="K102" i="3"/>
  <c r="L102" i="3"/>
  <c r="D95" i="3"/>
  <c r="E95" i="3"/>
  <c r="F95" i="3"/>
  <c r="G95" i="3"/>
  <c r="H95" i="3"/>
  <c r="I95" i="3"/>
  <c r="J95" i="3"/>
  <c r="K95" i="3"/>
  <c r="L95" i="3"/>
  <c r="C95" i="3"/>
  <c r="C82" i="3"/>
  <c r="D82" i="3"/>
  <c r="E82" i="3"/>
  <c r="F82" i="3"/>
  <c r="G82" i="3"/>
  <c r="H82" i="3"/>
  <c r="I82" i="3"/>
  <c r="J82" i="3"/>
  <c r="K82" i="3"/>
  <c r="L82" i="3"/>
  <c r="C83" i="3"/>
  <c r="D83" i="3"/>
  <c r="E83" i="3"/>
  <c r="F83" i="3"/>
  <c r="G83" i="3"/>
  <c r="H83" i="3"/>
  <c r="I83" i="3"/>
  <c r="J83" i="3"/>
  <c r="K83" i="3"/>
  <c r="L83" i="3"/>
  <c r="C84" i="3"/>
  <c r="D84" i="3"/>
  <c r="E84" i="3"/>
  <c r="F84" i="3"/>
  <c r="G84" i="3"/>
  <c r="H84" i="3"/>
  <c r="I84" i="3"/>
  <c r="J84" i="3"/>
  <c r="K84" i="3"/>
  <c r="L84" i="3"/>
  <c r="C85" i="3"/>
  <c r="D85" i="3"/>
  <c r="E85" i="3"/>
  <c r="F85" i="3"/>
  <c r="G85" i="3"/>
  <c r="H85" i="3"/>
  <c r="I85" i="3"/>
  <c r="J85" i="3"/>
  <c r="K85" i="3"/>
  <c r="L85" i="3"/>
  <c r="C86" i="3"/>
  <c r="D86" i="3"/>
  <c r="E86" i="3"/>
  <c r="F86" i="3"/>
  <c r="G86" i="3"/>
  <c r="H86" i="3"/>
  <c r="I86" i="3"/>
  <c r="J86" i="3"/>
  <c r="K86" i="3"/>
  <c r="L86" i="3"/>
  <c r="C87" i="3"/>
  <c r="D87" i="3"/>
  <c r="E87" i="3"/>
  <c r="F87" i="3"/>
  <c r="G87" i="3"/>
  <c r="H87" i="3"/>
  <c r="I87" i="3"/>
  <c r="J87" i="3"/>
  <c r="K87" i="3"/>
  <c r="L87" i="3"/>
  <c r="C88" i="3"/>
  <c r="D88" i="3"/>
  <c r="E88" i="3"/>
  <c r="F88" i="3"/>
  <c r="G88" i="3"/>
  <c r="H88" i="3"/>
  <c r="I88" i="3"/>
  <c r="J88" i="3"/>
  <c r="K88" i="3"/>
  <c r="L88" i="3"/>
  <c r="C89" i="3"/>
  <c r="D89" i="3"/>
  <c r="E89" i="3"/>
  <c r="F89" i="3"/>
  <c r="G89" i="3"/>
  <c r="H89" i="3"/>
  <c r="I89" i="3"/>
  <c r="J89" i="3"/>
  <c r="K89" i="3"/>
  <c r="L89" i="3"/>
  <c r="C90" i="3"/>
  <c r="D90" i="3"/>
  <c r="E90" i="3"/>
  <c r="F90" i="3"/>
  <c r="G90" i="3"/>
  <c r="H90" i="3"/>
  <c r="I90" i="3"/>
  <c r="J90" i="3"/>
  <c r="K90" i="3"/>
  <c r="L90" i="3"/>
  <c r="C91" i="3"/>
  <c r="D91" i="3"/>
  <c r="E91" i="3"/>
  <c r="F91" i="3"/>
  <c r="G91" i="3"/>
  <c r="H91" i="3"/>
  <c r="I91" i="3"/>
  <c r="J91" i="3"/>
  <c r="K91" i="3"/>
  <c r="L91" i="3"/>
  <c r="D81" i="3"/>
  <c r="E81" i="3"/>
  <c r="F81" i="3"/>
  <c r="G81" i="3"/>
  <c r="H81" i="3"/>
  <c r="I81" i="3"/>
  <c r="J81" i="3"/>
  <c r="K81" i="3"/>
  <c r="L81" i="3"/>
  <c r="C81" i="3"/>
  <c r="E70" i="3"/>
  <c r="C71" i="3"/>
  <c r="D71" i="3"/>
  <c r="E71" i="3"/>
  <c r="F71" i="3"/>
  <c r="G71" i="3"/>
  <c r="H71" i="3"/>
  <c r="I71" i="3"/>
  <c r="J71" i="3"/>
  <c r="K71" i="3"/>
  <c r="L71" i="3"/>
  <c r="C72" i="3"/>
  <c r="D72" i="3"/>
  <c r="E72" i="3"/>
  <c r="F72" i="3"/>
  <c r="G72" i="3"/>
  <c r="H72" i="3"/>
  <c r="I72" i="3"/>
  <c r="J72" i="3"/>
  <c r="K72" i="3"/>
  <c r="L72" i="3"/>
  <c r="C73" i="3"/>
  <c r="D73" i="3"/>
  <c r="E73" i="3"/>
  <c r="F73" i="3"/>
  <c r="G73" i="3"/>
  <c r="H73" i="3"/>
  <c r="I73" i="3"/>
  <c r="J73" i="3"/>
  <c r="K73" i="3"/>
  <c r="L73" i="3"/>
  <c r="C74" i="3"/>
  <c r="D74" i="3"/>
  <c r="E74" i="3"/>
  <c r="F74" i="3"/>
  <c r="G74" i="3"/>
  <c r="H74" i="3"/>
  <c r="I74" i="3"/>
  <c r="J74" i="3"/>
  <c r="K74" i="3"/>
  <c r="L74" i="3"/>
  <c r="C75" i="3"/>
  <c r="D75" i="3"/>
  <c r="E75" i="3"/>
  <c r="F75" i="3"/>
  <c r="G75" i="3"/>
  <c r="H75" i="3"/>
  <c r="I75" i="3"/>
  <c r="J75" i="3"/>
  <c r="K75" i="3"/>
  <c r="L75" i="3"/>
  <c r="C76" i="3"/>
  <c r="D76" i="3"/>
  <c r="E76" i="3"/>
  <c r="F76" i="3"/>
  <c r="G76" i="3"/>
  <c r="H76" i="3"/>
  <c r="I76" i="3"/>
  <c r="J76" i="3"/>
  <c r="K76" i="3"/>
  <c r="L76" i="3"/>
  <c r="C77" i="3"/>
  <c r="D77" i="3"/>
  <c r="E77" i="3"/>
  <c r="F77" i="3"/>
  <c r="G77" i="3"/>
  <c r="H77" i="3"/>
  <c r="I77" i="3"/>
  <c r="J77" i="3"/>
  <c r="K77" i="3"/>
  <c r="L77" i="3"/>
  <c r="D70" i="3"/>
  <c r="D78" i="3" s="1"/>
  <c r="F70" i="3"/>
  <c r="G70" i="3"/>
  <c r="G78" i="3" s="1"/>
  <c r="H70" i="3"/>
  <c r="I70" i="3"/>
  <c r="J70" i="3"/>
  <c r="J78" i="3" s="1"/>
  <c r="K70" i="3"/>
  <c r="L70" i="3"/>
  <c r="L78" i="3" s="1"/>
  <c r="C70" i="3"/>
  <c r="D55" i="3"/>
  <c r="E55" i="3"/>
  <c r="F55" i="3"/>
  <c r="G55" i="3"/>
  <c r="H55" i="3"/>
  <c r="I55" i="3"/>
  <c r="J55" i="3"/>
  <c r="K55" i="3"/>
  <c r="L55" i="3"/>
  <c r="M55" i="3"/>
  <c r="C55" i="3"/>
  <c r="C50" i="3"/>
  <c r="C59" i="3"/>
  <c r="D59" i="3"/>
  <c r="E59" i="3"/>
  <c r="F59" i="3"/>
  <c r="G59" i="3"/>
  <c r="H59" i="3"/>
  <c r="I59" i="3"/>
  <c r="J59" i="3"/>
  <c r="K59" i="3"/>
  <c r="L59" i="3"/>
  <c r="M59" i="3"/>
  <c r="C60" i="3"/>
  <c r="D60" i="3"/>
  <c r="E60" i="3"/>
  <c r="F60" i="3"/>
  <c r="G60" i="3"/>
  <c r="H60" i="3"/>
  <c r="I60" i="3"/>
  <c r="J60" i="3"/>
  <c r="K60" i="3"/>
  <c r="L60" i="3"/>
  <c r="M60" i="3"/>
  <c r="D58" i="3"/>
  <c r="D61" i="3" s="1"/>
  <c r="E58" i="3"/>
  <c r="F58" i="3"/>
  <c r="G58" i="3"/>
  <c r="H58" i="3"/>
  <c r="I58" i="3"/>
  <c r="J58" i="3"/>
  <c r="J61" i="3" s="1"/>
  <c r="K58" i="3"/>
  <c r="K61" i="3" s="1"/>
  <c r="L58" i="3"/>
  <c r="L61" i="3" s="1"/>
  <c r="M58" i="3"/>
  <c r="C58" i="3"/>
  <c r="C61" i="3" s="1"/>
  <c r="C53" i="3"/>
  <c r="D53" i="3"/>
  <c r="E53" i="3"/>
  <c r="F53" i="3"/>
  <c r="G53" i="3"/>
  <c r="H53" i="3"/>
  <c r="I53" i="3"/>
  <c r="J53" i="3"/>
  <c r="K53" i="3"/>
  <c r="L53" i="3"/>
  <c r="M53" i="3"/>
  <c r="C54" i="3"/>
  <c r="D54" i="3"/>
  <c r="E54" i="3"/>
  <c r="F54" i="3"/>
  <c r="G54" i="3"/>
  <c r="H54" i="3"/>
  <c r="I54" i="3"/>
  <c r="J54" i="3"/>
  <c r="K54" i="3"/>
  <c r="L54" i="3"/>
  <c r="M54" i="3"/>
  <c r="D52" i="3"/>
  <c r="E52" i="3"/>
  <c r="F52" i="3"/>
  <c r="G52" i="3"/>
  <c r="H52" i="3"/>
  <c r="H56" i="3" s="1"/>
  <c r="I52" i="3"/>
  <c r="I56" i="3" s="1"/>
  <c r="J52" i="3"/>
  <c r="J56" i="3" s="1"/>
  <c r="K52" i="3"/>
  <c r="L52" i="3"/>
  <c r="M52" i="3"/>
  <c r="C52" i="3"/>
  <c r="C47" i="3"/>
  <c r="D47" i="3"/>
  <c r="E47" i="3"/>
  <c r="F47" i="3"/>
  <c r="G47" i="3"/>
  <c r="H47" i="3"/>
  <c r="I47" i="3"/>
  <c r="J47" i="3"/>
  <c r="K47" i="3"/>
  <c r="L47" i="3"/>
  <c r="M47" i="3"/>
  <c r="C48" i="3"/>
  <c r="D48" i="3"/>
  <c r="E48" i="3"/>
  <c r="F48" i="3"/>
  <c r="G48" i="3"/>
  <c r="H48" i="3"/>
  <c r="I48" i="3"/>
  <c r="J48" i="3"/>
  <c r="K48" i="3"/>
  <c r="L48" i="3"/>
  <c r="M48" i="3"/>
  <c r="C49" i="3"/>
  <c r="D49" i="3"/>
  <c r="E49" i="3"/>
  <c r="F49" i="3"/>
  <c r="G49" i="3"/>
  <c r="H49" i="3"/>
  <c r="I49" i="3"/>
  <c r="J49" i="3"/>
  <c r="K49" i="3"/>
  <c r="L49" i="3"/>
  <c r="M49" i="3"/>
  <c r="D50" i="3"/>
  <c r="E50" i="3"/>
  <c r="F50" i="3"/>
  <c r="G50" i="3"/>
  <c r="H50" i="3"/>
  <c r="I50" i="3"/>
  <c r="J50" i="3"/>
  <c r="K50" i="3"/>
  <c r="L50" i="3"/>
  <c r="M50" i="3"/>
  <c r="D46" i="3"/>
  <c r="E46" i="3"/>
  <c r="F46" i="3"/>
  <c r="G46" i="3"/>
  <c r="H46" i="3"/>
  <c r="I46" i="3"/>
  <c r="J46" i="3"/>
  <c r="K46" i="3"/>
  <c r="L46" i="3"/>
  <c r="M46" i="3"/>
  <c r="C46" i="3"/>
  <c r="M34" i="3"/>
  <c r="M39" i="3" s="1"/>
  <c r="D34" i="3"/>
  <c r="D39" i="3" s="1"/>
  <c r="E34" i="3"/>
  <c r="E39" i="3" s="1"/>
  <c r="F34" i="3"/>
  <c r="F39" i="3" s="1"/>
  <c r="G34" i="3"/>
  <c r="G39" i="3" s="1"/>
  <c r="G9" i="7" s="1"/>
  <c r="H34" i="3"/>
  <c r="H39" i="3" s="1"/>
  <c r="I34" i="3"/>
  <c r="I39" i="3" s="1"/>
  <c r="J34" i="3"/>
  <c r="J39" i="3" s="1"/>
  <c r="K34" i="3"/>
  <c r="K39" i="3" s="1"/>
  <c r="K9" i="7" s="1"/>
  <c r="L34" i="3"/>
  <c r="L39" i="3" s="1"/>
  <c r="C34" i="3"/>
  <c r="C39" i="3" s="1"/>
  <c r="M28" i="3"/>
  <c r="D28" i="3"/>
  <c r="E28" i="3"/>
  <c r="F28" i="3"/>
  <c r="G28" i="3"/>
  <c r="H28" i="3"/>
  <c r="I28" i="3"/>
  <c r="J28" i="3"/>
  <c r="K28" i="3"/>
  <c r="L28" i="3"/>
  <c r="C28" i="3"/>
  <c r="M22" i="3"/>
  <c r="D22" i="3"/>
  <c r="E22" i="3"/>
  <c r="F22" i="3"/>
  <c r="G22" i="3"/>
  <c r="H22" i="3"/>
  <c r="I22" i="3"/>
  <c r="J22" i="3"/>
  <c r="K22" i="3"/>
  <c r="L22" i="3"/>
  <c r="C22" i="3"/>
  <c r="M19" i="3"/>
  <c r="D19" i="3"/>
  <c r="E19" i="3"/>
  <c r="F19" i="3"/>
  <c r="G19" i="3"/>
  <c r="H19" i="3"/>
  <c r="I19" i="3"/>
  <c r="J19" i="3"/>
  <c r="K19" i="3"/>
  <c r="L19" i="3"/>
  <c r="C19" i="3"/>
  <c r="M13" i="3"/>
  <c r="D13" i="3"/>
  <c r="E13" i="3"/>
  <c r="F13" i="3"/>
  <c r="G13" i="3"/>
  <c r="H13" i="3"/>
  <c r="I13" i="3"/>
  <c r="J13" i="3"/>
  <c r="K13" i="3"/>
  <c r="L13" i="3"/>
  <c r="C13" i="3"/>
  <c r="M7" i="3"/>
  <c r="D7" i="3"/>
  <c r="E7" i="3"/>
  <c r="F7" i="3"/>
  <c r="G7" i="3"/>
  <c r="H7" i="3"/>
  <c r="I7" i="3"/>
  <c r="J7" i="3"/>
  <c r="K7" i="3"/>
  <c r="L7" i="3"/>
  <c r="C7" i="3"/>
  <c r="M5" i="3"/>
  <c r="D5" i="3"/>
  <c r="E5" i="3"/>
  <c r="F5" i="3"/>
  <c r="G5" i="3"/>
  <c r="H5" i="3"/>
  <c r="I5" i="3"/>
  <c r="J5" i="3"/>
  <c r="K5" i="3"/>
  <c r="L5" i="3"/>
  <c r="C5" i="3"/>
  <c r="L3" i="3"/>
  <c r="D3" i="3"/>
  <c r="E3" i="3"/>
  <c r="F3" i="3"/>
  <c r="G3" i="3"/>
  <c r="H3" i="3"/>
  <c r="I3" i="3"/>
  <c r="J3" i="3"/>
  <c r="K3" i="3"/>
  <c r="C3" i="3"/>
  <c r="B2" i="3"/>
  <c r="E1" i="1" s="1"/>
  <c r="B6" i="1"/>
  <c r="F78" i="3" l="1"/>
  <c r="E78" i="3"/>
  <c r="C78" i="3"/>
  <c r="K78" i="3"/>
  <c r="I78" i="3"/>
  <c r="I39" i="7" s="1"/>
  <c r="I9" i="7"/>
  <c r="K56" i="3"/>
  <c r="K63" i="3" s="1"/>
  <c r="K65" i="3" s="1"/>
  <c r="H78" i="3"/>
  <c r="H41" i="7" s="1"/>
  <c r="E92" i="3"/>
  <c r="C103" i="3"/>
  <c r="L103" i="3"/>
  <c r="J41" i="7"/>
  <c r="J39" i="7"/>
  <c r="M56" i="3"/>
  <c r="M63" i="3" s="1"/>
  <c r="M65" i="3" s="1"/>
  <c r="E56" i="3"/>
  <c r="F61" i="3"/>
  <c r="I41" i="7"/>
  <c r="J10" i="3"/>
  <c r="J11" i="3" s="1"/>
  <c r="J11" i="7" s="1"/>
  <c r="J27" i="7"/>
  <c r="J34" i="7" s="1"/>
  <c r="J28" i="7"/>
  <c r="J35" i="7" s="1"/>
  <c r="J29" i="7"/>
  <c r="J36" i="7" s="1"/>
  <c r="J30" i="7"/>
  <c r="J31" i="7"/>
  <c r="I6" i="3"/>
  <c r="I5" i="7" s="1"/>
  <c r="I27" i="7"/>
  <c r="I34" i="7" s="1"/>
  <c r="I28" i="7"/>
  <c r="I35" i="7" s="1"/>
  <c r="I29" i="7"/>
  <c r="I36" i="7" s="1"/>
  <c r="I30" i="7"/>
  <c r="I31" i="7"/>
  <c r="H20" i="3"/>
  <c r="H27" i="7"/>
  <c r="H34" i="7" s="1"/>
  <c r="H28" i="7"/>
  <c r="H35" i="7" s="1"/>
  <c r="H29" i="7"/>
  <c r="H36" i="7" s="1"/>
  <c r="H30" i="7"/>
  <c r="H31" i="7"/>
  <c r="J9" i="7"/>
  <c r="L56" i="3"/>
  <c r="D56" i="3"/>
  <c r="F29" i="7"/>
  <c r="F36" i="7" s="1"/>
  <c r="F30" i="7"/>
  <c r="F31" i="7"/>
  <c r="F28" i="7"/>
  <c r="F35" i="7" s="1"/>
  <c r="F27" i="7"/>
  <c r="F34" i="7" s="1"/>
  <c r="L92" i="3"/>
  <c r="G28" i="7"/>
  <c r="G35" i="7" s="1"/>
  <c r="G29" i="7"/>
  <c r="G36" i="7" s="1"/>
  <c r="G30" i="7"/>
  <c r="G31" i="7"/>
  <c r="G27" i="7"/>
  <c r="G34" i="7" s="1"/>
  <c r="G37" i="7" s="1"/>
  <c r="C31" i="7"/>
  <c r="C30" i="7"/>
  <c r="C29" i="7"/>
  <c r="C28" i="7"/>
  <c r="C27" i="7"/>
  <c r="C56" i="3"/>
  <c r="F56" i="3"/>
  <c r="G61" i="3"/>
  <c r="L63" i="3"/>
  <c r="L65" i="3" s="1"/>
  <c r="D31" i="7"/>
  <c r="D30" i="7"/>
  <c r="D27" i="7"/>
  <c r="D34" i="7" s="1"/>
  <c r="D28" i="7"/>
  <c r="D35" i="7" s="1"/>
  <c r="D29" i="7"/>
  <c r="D36" i="7" s="1"/>
  <c r="I61" i="3"/>
  <c r="F39" i="7"/>
  <c r="F41" i="7"/>
  <c r="D63" i="3"/>
  <c r="D65" i="3" s="1"/>
  <c r="E30" i="7"/>
  <c r="E31" i="7"/>
  <c r="E29" i="7"/>
  <c r="E36" i="7" s="1"/>
  <c r="E27" i="7"/>
  <c r="E34" i="7" s="1"/>
  <c r="E28" i="7"/>
  <c r="E35" i="7" s="1"/>
  <c r="L31" i="7"/>
  <c r="L27" i="7"/>
  <c r="L34" i="7" s="1"/>
  <c r="L30" i="7"/>
  <c r="L28" i="7"/>
  <c r="L35" i="7" s="1"/>
  <c r="L29" i="7"/>
  <c r="L36" i="7" s="1"/>
  <c r="K27" i="7"/>
  <c r="K34" i="7" s="1"/>
  <c r="K28" i="7"/>
  <c r="K35" i="7" s="1"/>
  <c r="K29" i="7"/>
  <c r="K36" i="7" s="1"/>
  <c r="K31" i="7"/>
  <c r="K30" i="7"/>
  <c r="E9" i="7"/>
  <c r="G56" i="3"/>
  <c r="H61" i="3"/>
  <c r="M61" i="3"/>
  <c r="E61" i="3"/>
  <c r="L9" i="7"/>
  <c r="L41" i="7"/>
  <c r="L39" i="7"/>
  <c r="J63" i="3"/>
  <c r="J65" i="3" s="1"/>
  <c r="I63" i="3"/>
  <c r="I65" i="3" s="1"/>
  <c r="C63" i="3"/>
  <c r="C65" i="3" s="1"/>
  <c r="F63" i="3"/>
  <c r="F65" i="3" s="1"/>
  <c r="H63" i="3"/>
  <c r="H65" i="3" s="1"/>
  <c r="H92" i="3"/>
  <c r="D92" i="3"/>
  <c r="F9" i="7"/>
  <c r="D103" i="3"/>
  <c r="D9" i="7"/>
  <c r="G14" i="3"/>
  <c r="G17" i="7" s="1"/>
  <c r="M40" i="3"/>
  <c r="K103" i="3"/>
  <c r="K92" i="3"/>
  <c r="G92" i="3"/>
  <c r="H103" i="3"/>
  <c r="J103" i="3"/>
  <c r="J92" i="3"/>
  <c r="F92" i="3"/>
  <c r="G103" i="3"/>
  <c r="F6" i="3"/>
  <c r="F5" i="7" s="1"/>
  <c r="H9" i="7"/>
  <c r="I92" i="3"/>
  <c r="I103" i="3"/>
  <c r="F103" i="3"/>
  <c r="E103" i="3"/>
  <c r="E105" i="3" s="1"/>
  <c r="C92" i="3"/>
  <c r="M8" i="3"/>
  <c r="I10" i="3"/>
  <c r="J8" i="3"/>
  <c r="I8" i="3"/>
  <c r="E20" i="3"/>
  <c r="H8" i="3"/>
  <c r="L10" i="3"/>
  <c r="D10" i="3"/>
  <c r="C14" i="3"/>
  <c r="C17" i="7" s="1"/>
  <c r="C8" i="3"/>
  <c r="F23" i="3"/>
  <c r="F18" i="7" s="1"/>
  <c r="E14" i="3"/>
  <c r="E17" i="7" s="1"/>
  <c r="E8" i="3"/>
  <c r="C20" i="3"/>
  <c r="G20" i="3"/>
  <c r="K8" i="3"/>
  <c r="H23" i="3"/>
  <c r="H18" i="7" s="1"/>
  <c r="E23" i="3"/>
  <c r="E18" i="7" s="1"/>
  <c r="C23" i="3"/>
  <c r="C18" i="7" s="1"/>
  <c r="J14" i="3"/>
  <c r="J17" i="7" s="1"/>
  <c r="G6" i="3"/>
  <c r="G5" i="7" s="1"/>
  <c r="F10" i="3"/>
  <c r="F20" i="3"/>
  <c r="M42" i="3"/>
  <c r="D6" i="3"/>
  <c r="D5" i="7" s="1"/>
  <c r="F14" i="3"/>
  <c r="F17" i="7" s="1"/>
  <c r="L20" i="3"/>
  <c r="D20" i="3"/>
  <c r="K10" i="3"/>
  <c r="D14" i="3"/>
  <c r="D17" i="7" s="1"/>
  <c r="K20" i="3"/>
  <c r="M20" i="3"/>
  <c r="H6" i="3"/>
  <c r="H5" i="7" s="1"/>
  <c r="G10" i="3"/>
  <c r="J20" i="3"/>
  <c r="J23" i="3"/>
  <c r="J18" i="7" s="1"/>
  <c r="I23" i="3"/>
  <c r="I18" i="7" s="1"/>
  <c r="D23" i="3"/>
  <c r="D18" i="7" s="1"/>
  <c r="E6" i="3"/>
  <c r="E5" i="7" s="1"/>
  <c r="M14" i="3"/>
  <c r="I20" i="3"/>
  <c r="L23" i="3"/>
  <c r="L18" i="7" s="1"/>
  <c r="C10" i="3"/>
  <c r="E10" i="3"/>
  <c r="L8" i="3"/>
  <c r="D8" i="3"/>
  <c r="L14" i="3"/>
  <c r="L17" i="7" s="1"/>
  <c r="G23" i="3"/>
  <c r="G18" i="7" s="1"/>
  <c r="H10" i="3"/>
  <c r="M23" i="3"/>
  <c r="M6" i="3"/>
  <c r="G8" i="3"/>
  <c r="F8" i="3"/>
  <c r="K23" i="3"/>
  <c r="K18" i="7" s="1"/>
  <c r="J6" i="3"/>
  <c r="J5" i="7" s="1"/>
  <c r="K14" i="3"/>
  <c r="K17" i="7" s="1"/>
  <c r="L6" i="3"/>
  <c r="L5" i="7" s="1"/>
  <c r="I14" i="3"/>
  <c r="I17" i="7" s="1"/>
  <c r="K6" i="3"/>
  <c r="K5" i="7" s="1"/>
  <c r="H14" i="3"/>
  <c r="H17" i="7" s="1"/>
  <c r="M10" i="3"/>
  <c r="J37" i="7" l="1"/>
  <c r="F40" i="7"/>
  <c r="L105" i="3"/>
  <c r="E37" i="7"/>
  <c r="G105" i="3"/>
  <c r="D105" i="3"/>
  <c r="H39" i="7"/>
  <c r="K105" i="3"/>
  <c r="E16" i="3"/>
  <c r="E11" i="3"/>
  <c r="E11" i="7" s="1"/>
  <c r="K16" i="3"/>
  <c r="K11" i="3"/>
  <c r="K11" i="7" s="1"/>
  <c r="C41" i="7"/>
  <c r="C40" i="7"/>
  <c r="C39" i="7"/>
  <c r="N30" i="7"/>
  <c r="O30" i="7"/>
  <c r="F37" i="7"/>
  <c r="E63" i="3"/>
  <c r="E65" i="3" s="1"/>
  <c r="C16" i="3"/>
  <c r="C11" i="3"/>
  <c r="C11" i="7" s="1"/>
  <c r="N18" i="7"/>
  <c r="O18" i="7"/>
  <c r="I105" i="3"/>
  <c r="K37" i="7"/>
  <c r="G63" i="3"/>
  <c r="G65" i="3" s="1"/>
  <c r="I37" i="7"/>
  <c r="H105" i="3"/>
  <c r="I40" i="7"/>
  <c r="H40" i="7"/>
  <c r="O5" i="7"/>
  <c r="N5" i="7"/>
  <c r="N17" i="7"/>
  <c r="O17" i="7"/>
  <c r="I16" i="3"/>
  <c r="I11" i="3"/>
  <c r="I11" i="7" s="1"/>
  <c r="H37" i="7"/>
  <c r="H16" i="3"/>
  <c r="H11" i="3"/>
  <c r="H11" i="7" s="1"/>
  <c r="G16" i="3"/>
  <c r="G17" i="3" s="1"/>
  <c r="G12" i="7" s="1"/>
  <c r="G11" i="3"/>
  <c r="G11" i="7" s="1"/>
  <c r="D16" i="3"/>
  <c r="D25" i="3" s="1"/>
  <c r="D11" i="3"/>
  <c r="D11" i="7" s="1"/>
  <c r="L40" i="7"/>
  <c r="D37" i="7"/>
  <c r="C34" i="7"/>
  <c r="O27" i="7"/>
  <c r="N27" i="7"/>
  <c r="J40" i="7"/>
  <c r="G39" i="7"/>
  <c r="G40" i="7"/>
  <c r="G41" i="7"/>
  <c r="O31" i="7"/>
  <c r="N31" i="7"/>
  <c r="L16" i="3"/>
  <c r="L25" i="3" s="1"/>
  <c r="L11" i="3"/>
  <c r="L11" i="7" s="1"/>
  <c r="C105" i="3"/>
  <c r="F105" i="3"/>
  <c r="L37" i="7"/>
  <c r="E39" i="7"/>
  <c r="E40" i="7"/>
  <c r="E41" i="7"/>
  <c r="C35" i="7"/>
  <c r="N28" i="7"/>
  <c r="O28" i="7"/>
  <c r="K41" i="7"/>
  <c r="K40" i="7"/>
  <c r="K39" i="7"/>
  <c r="M16" i="3"/>
  <c r="M11" i="3"/>
  <c r="F16" i="3"/>
  <c r="F25" i="3" s="1"/>
  <c r="F11" i="3"/>
  <c r="F11" i="7" s="1"/>
  <c r="J16" i="3"/>
  <c r="J25" i="3" s="1"/>
  <c r="J105" i="3"/>
  <c r="O9" i="7"/>
  <c r="N9" i="7"/>
  <c r="D40" i="7"/>
  <c r="D41" i="7"/>
  <c r="D39" i="7"/>
  <c r="C36" i="7"/>
  <c r="N29" i="7"/>
  <c r="O29" i="7"/>
  <c r="K25" i="3"/>
  <c r="K13" i="7" s="1"/>
  <c r="K19" i="7" s="1"/>
  <c r="E25" i="3"/>
  <c r="I25" i="3"/>
  <c r="I13" i="7" s="1"/>
  <c r="I19" i="7" s="1"/>
  <c r="G25" i="3"/>
  <c r="C23" i="7"/>
  <c r="E17" i="3"/>
  <c r="E12" i="7" s="1"/>
  <c r="E26" i="3"/>
  <c r="E14" i="7" s="1"/>
  <c r="E31" i="3"/>
  <c r="E23" i="7" s="1"/>
  <c r="E29" i="3"/>
  <c r="K17" i="3"/>
  <c r="K12" i="7" s="1"/>
  <c r="M25" i="3"/>
  <c r="M17" i="3"/>
  <c r="K26" i="3"/>
  <c r="K14" i="7" s="1"/>
  <c r="H25" i="3"/>
  <c r="H13" i="7" s="1"/>
  <c r="H19" i="7" s="1"/>
  <c r="H17" i="3"/>
  <c r="H12" i="7" s="1"/>
  <c r="L13" i="7" l="1"/>
  <c r="L19" i="7" s="1"/>
  <c r="L26" i="3"/>
  <c r="L14" i="7" s="1"/>
  <c r="F17" i="3"/>
  <c r="F12" i="7" s="1"/>
  <c r="K29" i="3"/>
  <c r="J6" i="7"/>
  <c r="D13" i="7"/>
  <c r="D19" i="7" s="1"/>
  <c r="D29" i="3"/>
  <c r="D26" i="3"/>
  <c r="D14" i="7" s="1"/>
  <c r="F13" i="7"/>
  <c r="F19" i="7" s="1"/>
  <c r="F26" i="3"/>
  <c r="F14" i="7" s="1"/>
  <c r="F31" i="3"/>
  <c r="J13" i="7"/>
  <c r="J19" i="7" s="1"/>
  <c r="J26" i="3"/>
  <c r="J14" i="7" s="1"/>
  <c r="L29" i="3"/>
  <c r="D17" i="3"/>
  <c r="D12" i="7" s="1"/>
  <c r="K6" i="7"/>
  <c r="C26" i="3"/>
  <c r="C14" i="7" s="1"/>
  <c r="G6" i="7"/>
  <c r="O36" i="7"/>
  <c r="N36" i="7"/>
  <c r="G21" i="7"/>
  <c r="G25" i="7"/>
  <c r="O39" i="7"/>
  <c r="N39" i="7"/>
  <c r="J17" i="3"/>
  <c r="J12" i="7" s="1"/>
  <c r="O34" i="7"/>
  <c r="N34" i="7"/>
  <c r="C37" i="7"/>
  <c r="N37" i="7" s="1"/>
  <c r="H6" i="7"/>
  <c r="H21" i="7"/>
  <c r="H25" i="7"/>
  <c r="N40" i="7"/>
  <c r="O40" i="7"/>
  <c r="N11" i="7"/>
  <c r="O11" i="7"/>
  <c r="N41" i="7"/>
  <c r="O41" i="7"/>
  <c r="G7" i="7"/>
  <c r="G13" i="7"/>
  <c r="G19" i="7" s="1"/>
  <c r="E6" i="7"/>
  <c r="F6" i="7"/>
  <c r="E7" i="7"/>
  <c r="E13" i="7"/>
  <c r="E19" i="7" s="1"/>
  <c r="C17" i="3"/>
  <c r="C12" i="7" s="1"/>
  <c r="C25" i="7"/>
  <c r="C21" i="7"/>
  <c r="F21" i="7"/>
  <c r="F25" i="7"/>
  <c r="O35" i="7"/>
  <c r="N35" i="7"/>
  <c r="L25" i="7"/>
  <c r="L21" i="7"/>
  <c r="L17" i="3"/>
  <c r="L12" i="7" s="1"/>
  <c r="L6" i="7"/>
  <c r="I6" i="7"/>
  <c r="I21" i="7"/>
  <c r="I25" i="7"/>
  <c r="I17" i="3"/>
  <c r="I12" i="7" s="1"/>
  <c r="K25" i="7"/>
  <c r="K21" i="7"/>
  <c r="D25" i="7"/>
  <c r="D6" i="7"/>
  <c r="D21" i="7"/>
  <c r="C29" i="3"/>
  <c r="C13" i="7"/>
  <c r="J25" i="7"/>
  <c r="J21" i="7"/>
  <c r="E25" i="7"/>
  <c r="E21" i="7"/>
  <c r="H31" i="3"/>
  <c r="H23" i="7" s="1"/>
  <c r="H7" i="7"/>
  <c r="K31" i="3"/>
  <c r="K23" i="7" s="1"/>
  <c r="K7" i="7"/>
  <c r="I31" i="3"/>
  <c r="I23" i="7" s="1"/>
  <c r="I7" i="7"/>
  <c r="J31" i="3"/>
  <c r="J7" i="7"/>
  <c r="M31" i="3"/>
  <c r="G29" i="3"/>
  <c r="F29" i="3"/>
  <c r="F7" i="7"/>
  <c r="I29" i="3"/>
  <c r="G31" i="3"/>
  <c r="I26" i="3"/>
  <c r="I14" i="7" s="1"/>
  <c r="G26" i="3"/>
  <c r="G14" i="7" s="1"/>
  <c r="L31" i="3"/>
  <c r="L23" i="7" s="1"/>
  <c r="L7" i="7"/>
  <c r="D31" i="3"/>
  <c r="D23" i="7" s="1"/>
  <c r="D7" i="7"/>
  <c r="J29" i="3"/>
  <c r="E32" i="3"/>
  <c r="E15" i="7" s="1"/>
  <c r="E36" i="3"/>
  <c r="C32" i="3"/>
  <c r="C15" i="7" s="1"/>
  <c r="C36" i="3"/>
  <c r="H36" i="3"/>
  <c r="H32" i="3"/>
  <c r="H15" i="7" s="1"/>
  <c r="F32" i="3"/>
  <c r="F15" i="7" s="1"/>
  <c r="F36" i="3"/>
  <c r="H26" i="3"/>
  <c r="H14" i="7" s="1"/>
  <c r="H29" i="3"/>
  <c r="M26" i="3"/>
  <c r="M29" i="3"/>
  <c r="O37" i="7" l="1"/>
  <c r="O14" i="7"/>
  <c r="N14" i="7"/>
  <c r="F8" i="7"/>
  <c r="F23" i="7"/>
  <c r="N23" i="7" s="1"/>
  <c r="C19" i="7"/>
  <c r="O13" i="7"/>
  <c r="N13" i="7"/>
  <c r="N6" i="7"/>
  <c r="O6" i="7"/>
  <c r="O21" i="7"/>
  <c r="N21" i="7"/>
  <c r="G8" i="7"/>
  <c r="G23" i="7"/>
  <c r="G36" i="3"/>
  <c r="O25" i="7"/>
  <c r="N25" i="7"/>
  <c r="J8" i="7"/>
  <c r="J23" i="7"/>
  <c r="J32" i="3"/>
  <c r="J15" i="7" s="1"/>
  <c r="N7" i="7"/>
  <c r="O7" i="7"/>
  <c r="E8" i="7"/>
  <c r="O12" i="7"/>
  <c r="N12" i="7"/>
  <c r="I8" i="7"/>
  <c r="I32" i="3"/>
  <c r="I15" i="7" s="1"/>
  <c r="I36" i="3"/>
  <c r="I37" i="3" s="1"/>
  <c r="G32" i="3"/>
  <c r="G15" i="7" s="1"/>
  <c r="N15" i="7" s="1"/>
  <c r="L8" i="7"/>
  <c r="L32" i="3"/>
  <c r="L15" i="7" s="1"/>
  <c r="L36" i="3"/>
  <c r="K8" i="7"/>
  <c r="K36" i="3"/>
  <c r="K40" i="3" s="1"/>
  <c r="K42" i="3" s="1"/>
  <c r="K22" i="7" s="1"/>
  <c r="K24" i="7" s="1"/>
  <c r="K32" i="3"/>
  <c r="K15" i="7" s="1"/>
  <c r="J36" i="3"/>
  <c r="K37" i="3" s="1"/>
  <c r="D8" i="7"/>
  <c r="D36" i="3"/>
  <c r="D40" i="3" s="1"/>
  <c r="D42" i="3" s="1"/>
  <c r="D22" i="7" s="1"/>
  <c r="D24" i="7" s="1"/>
  <c r="D32" i="3"/>
  <c r="D15" i="7" s="1"/>
  <c r="D37" i="3"/>
  <c r="M32" i="3"/>
  <c r="H8" i="7"/>
  <c r="G40" i="3"/>
  <c r="G42" i="3" s="1"/>
  <c r="G22" i="7" s="1"/>
  <c r="G24" i="7" s="1"/>
  <c r="G37" i="3"/>
  <c r="E40" i="3"/>
  <c r="E42" i="3" s="1"/>
  <c r="E22" i="7" s="1"/>
  <c r="E24" i="7" s="1"/>
  <c r="H42" i="3"/>
  <c r="H22" i="7" s="1"/>
  <c r="H24" i="7" s="1"/>
  <c r="H37" i="3"/>
  <c r="H40" i="3"/>
  <c r="F42" i="3"/>
  <c r="F22" i="7" s="1"/>
  <c r="F24" i="7" s="1"/>
  <c r="F40" i="3"/>
  <c r="F37" i="3"/>
  <c r="C40" i="3"/>
  <c r="C42" i="3" s="1"/>
  <c r="C22" i="7" s="1"/>
  <c r="O15" i="7" l="1"/>
  <c r="N19" i="7"/>
  <c r="O19" i="7"/>
  <c r="O23" i="7"/>
  <c r="C24" i="7"/>
  <c r="N8" i="7"/>
  <c r="O8" i="7"/>
  <c r="E37" i="3"/>
  <c r="M37" i="3"/>
  <c r="L40" i="3"/>
  <c r="L42" i="3" s="1"/>
  <c r="L22" i="7" s="1"/>
  <c r="L24" i="7" s="1"/>
  <c r="L37" i="3"/>
  <c r="J40" i="3"/>
  <c r="J42" i="3" s="1"/>
  <c r="J22" i="7" s="1"/>
  <c r="J24" i="7" s="1"/>
  <c r="I40" i="3"/>
  <c r="I42" i="3" s="1"/>
  <c r="I22" i="7" s="1"/>
  <c r="J37" i="3"/>
  <c r="I24" i="7" l="1"/>
  <c r="N24" i="7" s="1"/>
  <c r="O22" i="7"/>
  <c r="N22" i="7"/>
  <c r="O24" i="7"/>
</calcChain>
</file>

<file path=xl/sharedStrings.xml><?xml version="1.0" encoding="utf-8"?>
<sst xmlns="http://schemas.openxmlformats.org/spreadsheetml/2006/main" count="582" uniqueCount="428">
  <si>
    <t>COMPANY NAME</t>
  </si>
  <si>
    <t>JSW STEEL LTD</t>
  </si>
  <si>
    <t>LATEST VERSION</t>
  </si>
  <si>
    <t>PLEASE DO NOT MAKE ANY CHANGES TO THIS SHEET</t>
  </si>
  <si>
    <t>CURRENT VERSION</t>
  </si>
  <si>
    <t>META</t>
  </si>
  <si>
    <t>Number of shares</t>
  </si>
  <si>
    <t>Face Value</t>
  </si>
  <si>
    <t>Current Price</t>
  </si>
  <si>
    <t>Market Capitalization</t>
  </si>
  <si>
    <t>PROFIT &amp; LOSS</t>
  </si>
  <si>
    <t>Report Date</t>
  </si>
  <si>
    <t>Sales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</si>
  <si>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</si>
  <si>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</si>
  <si>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</si>
  <si>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</si>
  <si>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</si>
  <si>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</si>
  <si>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</si>
  <si>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Other Income</t>
  </si>
  <si>
    <t>Depreciation</t>
  </si>
  <si>
    <t>Interest</t>
  </si>
  <si>
    <t>Profit before tax</t>
  </si>
  <si>
    <t>Tax</t>
  </si>
  <si>
    <t>Net profit</t>
  </si>
  <si>
    <t>Dividend Amount</t>
  </si>
  <si>
    <t>Quarters</t>
  </si>
  <si>
    <t>Expenses</t>
  </si>
  <si>
    <t>Operating Profit</t>
  </si>
  <si>
    <t>BALANCE SHEET</t>
  </si>
  <si>
    <t>Equity Share Capital</t>
  </si>
  <si>
    <t>Reserves</t>
  </si>
  <si>
    <t>Borrowings</t>
  </si>
  <si>
    <t>Other Liabilities</t>
  </si>
  <si>
    <t>Total</t>
  </si>
  <si>
    <t>Net Block</t>
  </si>
  <si>
    <t>Capital Work in Progress</t>
  </si>
  <si>
    <t>Investments</t>
  </si>
  <si>
    <t>Other Assets</t>
  </si>
  <si>
    <t>Receivables</t>
  </si>
  <si>
    <t>Inventory</t>
  </si>
  <si>
    <t>Cash &amp; Bank</t>
  </si>
  <si>
    <t>No. of Equity Shares</t>
  </si>
  <si>
    <t>New Bonus Shares</t>
  </si>
  <si>
    <t>Face value</t>
  </si>
  <si>
    <t>CASH FLOW:</t>
  </si>
  <si>
    <t>Cash from Operating Activity</t>
  </si>
  <si>
    <t>Cash from Investing Activity</t>
  </si>
  <si>
    <t>Cash from Financing Activity</t>
  </si>
  <si>
    <t>Net Cash Flow</t>
  </si>
  <si>
    <t>PRICE:</t>
  </si>
  <si>
    <t>DERIVED:</t>
  </si>
  <si>
    <t>Adjusted Equity Shares in Cr</t>
  </si>
  <si>
    <t>Years</t>
  </si>
  <si>
    <t>LTM</t>
  </si>
  <si>
    <t>#</t>
  </si>
  <si>
    <t>Income Statement</t>
  </si>
  <si>
    <t>-</t>
  </si>
  <si>
    <t>Sales Growth</t>
  </si>
  <si>
    <t>COGS</t>
  </si>
  <si>
    <t>COGS as % of Sales</t>
  </si>
  <si>
    <t xml:space="preserve">Gross Profit </t>
  </si>
  <si>
    <t>SG&amp;A and Other Expenses</t>
  </si>
  <si>
    <t>S%G expenses % of sales</t>
  </si>
  <si>
    <t>EBITDA</t>
  </si>
  <si>
    <t>EBITDA as % of sales</t>
  </si>
  <si>
    <t>interest</t>
  </si>
  <si>
    <t>interest as % of sales</t>
  </si>
  <si>
    <t>depreciation as % of sales</t>
  </si>
  <si>
    <t>EBT</t>
  </si>
  <si>
    <t>EBT as % of sales</t>
  </si>
  <si>
    <t>Taxes</t>
  </si>
  <si>
    <t>effevtive Tax rate</t>
  </si>
  <si>
    <t>Net Profit</t>
  </si>
  <si>
    <t>Net profit margin</t>
  </si>
  <si>
    <t>No. of Equity Share</t>
  </si>
  <si>
    <t>EPS</t>
  </si>
  <si>
    <t>Dividend per share</t>
  </si>
  <si>
    <t>EPS Growth %</t>
  </si>
  <si>
    <t xml:space="preserve">Dividend Payout Ratio </t>
  </si>
  <si>
    <t>Retained Earnings</t>
  </si>
  <si>
    <t>Balance Sheet</t>
  </si>
  <si>
    <t>Total Assets</t>
  </si>
  <si>
    <t>Total Liabilties</t>
  </si>
  <si>
    <t>Fixed assets net  Block</t>
  </si>
  <si>
    <t>Total non-current assets</t>
  </si>
  <si>
    <t xml:space="preserve">Total current assets </t>
  </si>
  <si>
    <t>Check</t>
  </si>
  <si>
    <t>Profit from operations</t>
  </si>
  <si>
    <t>Payables</t>
  </si>
  <si>
    <t>Loans Advances</t>
  </si>
  <si>
    <t>Other WC items</t>
  </si>
  <si>
    <t>Working capital changes</t>
  </si>
  <si>
    <t>Direct taxes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</si>
  <si>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</si>
  <si>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</si>
  <si>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</si>
  <si>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</si>
  <si>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</si>
  <si>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</si>
  <si>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Investment in group cos</t>
  </si>
  <si>
    <t>Redemp n Canc of Shares</t>
  </si>
  <si>
    <t>Acquisition of companies</t>
  </si>
  <si>
    <t>Inter corporate deposits</t>
  </si>
  <si>
    <t>Other investing items</t>
  </si>
  <si>
    <t>Proceeds from shares</t>
  </si>
  <si>
    <t>Redemption of debentures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</si>
  <si>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</si>
  <si>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</si>
  <si>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</si>
  <si>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</si>
  <si>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</si>
  <si>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</si>
  <si>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>Cash from Operating Activity -</t>
  </si>
  <si>
    <t>Cash from Investing Activity -</t>
  </si>
  <si>
    <t>Cash from Financing Activity -</t>
  </si>
  <si>
    <t>Cash Flow Statement</t>
  </si>
  <si>
    <t>Operating Activities</t>
  </si>
  <si>
    <t xml:space="preserve">Cash from Operating Activity </t>
  </si>
  <si>
    <t xml:space="preserve">Cash from Investing Activity </t>
  </si>
  <si>
    <t xml:space="preserve">Investing Activities </t>
  </si>
  <si>
    <t>Financing Activities</t>
  </si>
  <si>
    <t>net Cash Flow</t>
  </si>
  <si>
    <t>EBITDA growth</t>
  </si>
  <si>
    <t>Net profit growth</t>
  </si>
  <si>
    <t>Dividend growth</t>
  </si>
  <si>
    <t>EBT growth</t>
  </si>
  <si>
    <t>Gross Margin</t>
  </si>
  <si>
    <t>Gross margin</t>
  </si>
  <si>
    <t>EBITDA margin</t>
  </si>
  <si>
    <t xml:space="preserve">EBT margin </t>
  </si>
  <si>
    <t>EBIT margin</t>
  </si>
  <si>
    <t>net profit margin</t>
  </si>
  <si>
    <t>SalesExpenses%Sales</t>
  </si>
  <si>
    <t>Depreciation%Sales</t>
  </si>
  <si>
    <t>OperatingIncome%Sales</t>
  </si>
  <si>
    <t>Return on Capital Employed</t>
  </si>
  <si>
    <t>Retained Earnings %</t>
  </si>
  <si>
    <t>Return on Equity %</t>
  </si>
  <si>
    <t>Self Sustained growth Rate</t>
  </si>
  <si>
    <t>Interest Coverage Ratio</t>
  </si>
  <si>
    <t xml:space="preserve">Debtor Turnover ratio </t>
  </si>
  <si>
    <t>Creditor Turnover ratio</t>
  </si>
  <si>
    <t>Inventory Turnover ratio</t>
  </si>
  <si>
    <t>Fixed asset Turnover ratio</t>
  </si>
  <si>
    <t>Capital Turnover ratio</t>
  </si>
  <si>
    <t>Creditor days</t>
  </si>
  <si>
    <t>Inventory days</t>
  </si>
  <si>
    <t>Debtor days</t>
  </si>
  <si>
    <t>Cash Conversion Cycle</t>
  </si>
  <si>
    <t>(in days)</t>
  </si>
  <si>
    <t>CFO/Sales</t>
  </si>
  <si>
    <t>CFO/Total Assets</t>
  </si>
  <si>
    <t>CFO/Total Debt</t>
  </si>
  <si>
    <t>Mean</t>
  </si>
  <si>
    <t>Median</t>
  </si>
  <si>
    <t>Note</t>
  </si>
  <si>
    <t xml:space="preserve">Cash from Op </t>
  </si>
  <si>
    <t>(minus) the WC changes</t>
  </si>
  <si>
    <t xml:space="preserve">Activities equals sum of all line items </t>
  </si>
  <si>
    <t>reinvestment rate = (net CapEx - delta WC) / (EBIT(1-t))</t>
  </si>
  <si>
    <t>ROC = (EBIT*(1-t))/(BV of Debt + BV of Equity - Cash)</t>
  </si>
  <si>
    <t>Determining Growth</t>
  </si>
  <si>
    <t>net capex</t>
  </si>
  <si>
    <t>Equity Capital</t>
  </si>
  <si>
    <t>Borrowings +</t>
  </si>
  <si>
    <t>Other Liabilities -</t>
  </si>
  <si>
    <t>Non controlling int</t>
  </si>
  <si>
    <t>Trade Payables</t>
  </si>
  <si>
    <t>Advance from Customers</t>
  </si>
  <si>
    <t>Other liability items</t>
  </si>
  <si>
    <t>Total Liabilities</t>
  </si>
  <si>
    <t>Fixed Assets +</t>
  </si>
  <si>
    <t>CWIP</t>
  </si>
  <si>
    <t>Other Assets -</t>
  </si>
  <si>
    <t>Inventories</t>
  </si>
  <si>
    <t>Trade receivables</t>
  </si>
  <si>
    <t>Cash Equivalents</t>
  </si>
  <si>
    <t>Loans n Advances</t>
  </si>
  <si>
    <t>Other asset items</t>
  </si>
  <si>
    <t xml:space="preserve">working capital </t>
  </si>
  <si>
    <t>changes in WC</t>
  </si>
  <si>
    <t>EBIT</t>
  </si>
  <si>
    <t>tax rate</t>
  </si>
  <si>
    <t>EBIT(1-t)</t>
  </si>
  <si>
    <t>BV of Debt</t>
  </si>
  <si>
    <t xml:space="preserve">BV of Equity </t>
  </si>
  <si>
    <t>Cash</t>
  </si>
  <si>
    <t>Year weight</t>
  </si>
  <si>
    <t xml:space="preserve">Year  </t>
  </si>
  <si>
    <t>Growth</t>
  </si>
  <si>
    <t>Y-O-Y Sales growth</t>
  </si>
  <si>
    <t>reinvestment Sales growth</t>
  </si>
  <si>
    <t>*Notes</t>
  </si>
  <si>
    <r>
      <t xml:space="preserve">Reinvestmnet Rate </t>
    </r>
    <r>
      <rPr>
        <vertAlign val="superscript"/>
        <sz val="11"/>
        <color theme="1"/>
        <rFont val="Calibri"/>
        <family val="2"/>
      </rPr>
      <t>1</t>
    </r>
  </si>
  <si>
    <r>
      <t xml:space="preserve">ROC </t>
    </r>
    <r>
      <rPr>
        <vertAlign val="superscript"/>
        <sz val="11"/>
        <color theme="1"/>
        <rFont val="Calibri"/>
        <family val="2"/>
      </rPr>
      <t>2</t>
    </r>
  </si>
  <si>
    <r>
      <t xml:space="preserve">growth </t>
    </r>
    <r>
      <rPr>
        <vertAlign val="superscript"/>
        <sz val="11"/>
        <color theme="1"/>
        <rFont val="Calibri"/>
        <family val="2"/>
      </rPr>
      <t>3</t>
    </r>
  </si>
  <si>
    <t>3) growth  = reinvestmnet rate * ROC</t>
  </si>
  <si>
    <t>4. Levered Beta = Unlevered Beta * (1+ (1- Tax rate ) * ( debt / Equity ))</t>
  </si>
  <si>
    <t>3. Unlevered Beta = Levered Beta / (1+ (1- Tax rate ) * ( debt / Equity ))</t>
  </si>
  <si>
    <t>2. Levered Beta is based on 3 year weekly data</t>
  </si>
  <si>
    <t>1. Tax Rate Considered as Marginal Tax Rate of the country</t>
  </si>
  <si>
    <t>Notes</t>
  </si>
  <si>
    <t xml:space="preserve">Weighted average Cost of Capital </t>
  </si>
  <si>
    <t>x</t>
  </si>
  <si>
    <t>Equity</t>
  </si>
  <si>
    <t>Debt</t>
  </si>
  <si>
    <t>Total Weight</t>
  </si>
  <si>
    <t>Total cost</t>
  </si>
  <si>
    <t>Capital structure</t>
  </si>
  <si>
    <t xml:space="preserve">Debt / Equity </t>
  </si>
  <si>
    <t>Levered Beta</t>
  </si>
  <si>
    <t>Tax rate</t>
  </si>
  <si>
    <t xml:space="preserve">Total Capital </t>
  </si>
  <si>
    <t>Target Debt/Equity</t>
  </si>
  <si>
    <t>comps Median Unlevered Beta</t>
  </si>
  <si>
    <t>Total Debt</t>
  </si>
  <si>
    <t>Target</t>
  </si>
  <si>
    <t>Current</t>
  </si>
  <si>
    <t>cost of equity</t>
  </si>
  <si>
    <r>
      <t xml:space="preserve">Levered Beta </t>
    </r>
    <r>
      <rPr>
        <vertAlign val="superscript"/>
        <sz val="11"/>
        <color theme="1"/>
        <rFont val="Calibri"/>
        <family val="2"/>
      </rPr>
      <t>4</t>
    </r>
  </si>
  <si>
    <t>Post Tax cost of Debt</t>
  </si>
  <si>
    <t>Market Risk Premium</t>
  </si>
  <si>
    <t>tax Rate</t>
  </si>
  <si>
    <t>Risk-Free Rate</t>
  </si>
  <si>
    <t>Pre tax cost of Debt</t>
  </si>
  <si>
    <t>Cost of Equity</t>
  </si>
  <si>
    <t>Cost of Debt</t>
  </si>
  <si>
    <t>Average</t>
  </si>
  <si>
    <t>India</t>
  </si>
  <si>
    <t>Sarda Energy</t>
  </si>
  <si>
    <t>S A I L</t>
  </si>
  <si>
    <t>Jindal Steel</t>
  </si>
  <si>
    <t>Tata Steel</t>
  </si>
  <si>
    <t>JSW Steel</t>
  </si>
  <si>
    <r>
      <t xml:space="preserve">Tax Rate </t>
    </r>
    <r>
      <rPr>
        <vertAlign val="superscript"/>
        <sz val="11"/>
        <color theme="1"/>
        <rFont val="Calibri"/>
        <family val="2"/>
      </rPr>
      <t>1</t>
    </r>
  </si>
  <si>
    <t>Total Equity</t>
  </si>
  <si>
    <t>Country</t>
  </si>
  <si>
    <t>Name of the Comp</t>
  </si>
  <si>
    <t>Peer Comps</t>
  </si>
  <si>
    <t>All figures are in INR unless stated otherwise</t>
  </si>
  <si>
    <t>Weighted Average Cost of Capital</t>
  </si>
  <si>
    <t>16-01-2022</t>
  </si>
  <si>
    <t>23-01-2022</t>
  </si>
  <si>
    <t>30-01-2022</t>
  </si>
  <si>
    <t>13-02-2022</t>
  </si>
  <si>
    <t>20-02-2022</t>
  </si>
  <si>
    <t>27-02-2022</t>
  </si>
  <si>
    <t>13-03-2022</t>
  </si>
  <si>
    <t>20-03-2022</t>
  </si>
  <si>
    <t>27-03-2022</t>
  </si>
  <si>
    <t>17-04-2022</t>
  </si>
  <si>
    <t>24-04-2022</t>
  </si>
  <si>
    <t>15-05-2022</t>
  </si>
  <si>
    <t>22-05-2022</t>
  </si>
  <si>
    <t>29-05-2022</t>
  </si>
  <si>
    <t>19-06-2022</t>
  </si>
  <si>
    <t>26-06-2022</t>
  </si>
  <si>
    <t>17-07-2022</t>
  </si>
  <si>
    <t>24-07-2022</t>
  </si>
  <si>
    <t>31-07-2022</t>
  </si>
  <si>
    <t>14-08-2022</t>
  </si>
  <si>
    <t>21-08-2022</t>
  </si>
  <si>
    <t>28-08-2022</t>
  </si>
  <si>
    <t>18-09-2022</t>
  </si>
  <si>
    <t>25-09-2022</t>
  </si>
  <si>
    <t>16-10-2022</t>
  </si>
  <si>
    <t>23-10-2022</t>
  </si>
  <si>
    <t>30-10-2022</t>
  </si>
  <si>
    <t>13-11-2022</t>
  </si>
  <si>
    <t>20-11-2022</t>
  </si>
  <si>
    <t>27-11-2022</t>
  </si>
  <si>
    <t>18-12-2022</t>
  </si>
  <si>
    <t>25-12-2022</t>
  </si>
  <si>
    <t>15-01-2023</t>
  </si>
  <si>
    <t>22-01-2023</t>
  </si>
  <si>
    <t>29-01-2023</t>
  </si>
  <si>
    <t>19-02-2023</t>
  </si>
  <si>
    <t>26-02-2023</t>
  </si>
  <si>
    <t>19-03-2023</t>
  </si>
  <si>
    <t>26-03-2023</t>
  </si>
  <si>
    <t>16-04-2023</t>
  </si>
  <si>
    <t>23-04-2023</t>
  </si>
  <si>
    <t>30-04-2023</t>
  </si>
  <si>
    <t>14-05-2023</t>
  </si>
  <si>
    <t>21-05-2023</t>
  </si>
  <si>
    <t>28-05-2023</t>
  </si>
  <si>
    <t>18-06-2023</t>
  </si>
  <si>
    <t>25-06-2023</t>
  </si>
  <si>
    <t>16-07-2023</t>
  </si>
  <si>
    <t>23-07-2023</t>
  </si>
  <si>
    <t>30-07-2023</t>
  </si>
  <si>
    <t>13-08-2023</t>
  </si>
  <si>
    <t>20-08-2023</t>
  </si>
  <si>
    <t>27-08-2023</t>
  </si>
  <si>
    <t>17-09-2023</t>
  </si>
  <si>
    <t>24-09-2023</t>
  </si>
  <si>
    <t>15-10-2023</t>
  </si>
  <si>
    <t>22-10-2023</t>
  </si>
  <si>
    <t>29-10-2023</t>
  </si>
  <si>
    <t>19-11-2023</t>
  </si>
  <si>
    <t>26-11-2023</t>
  </si>
  <si>
    <t>17-12-2023</t>
  </si>
  <si>
    <t>24-12-2023</t>
  </si>
  <si>
    <t>31-12-2023</t>
  </si>
  <si>
    <t>14-01-2024</t>
  </si>
  <si>
    <t>21-01-2024</t>
  </si>
  <si>
    <t>28-01-2024</t>
  </si>
  <si>
    <t>18-02-2024</t>
  </si>
  <si>
    <t>25-02-2024</t>
  </si>
  <si>
    <t>17-03-2024</t>
  </si>
  <si>
    <t>24-03-2024</t>
  </si>
  <si>
    <t>31-03-2024</t>
  </si>
  <si>
    <t>14-04-2024</t>
  </si>
  <si>
    <t>21-04-2024</t>
  </si>
  <si>
    <t>28-04-2024</t>
  </si>
  <si>
    <t>19-05-2024</t>
  </si>
  <si>
    <t>26-05-2024</t>
  </si>
  <si>
    <t>16-06-2024</t>
  </si>
  <si>
    <t>23-06-2024</t>
  </si>
  <si>
    <t>30-06-2024</t>
  </si>
  <si>
    <t>14-07-2024</t>
  </si>
  <si>
    <t>21-07-2024</t>
  </si>
  <si>
    <t>28-07-2024</t>
  </si>
  <si>
    <t>18-08-2024</t>
  </si>
  <si>
    <t>25-08-2024</t>
  </si>
  <si>
    <t>15-09-2024</t>
  </si>
  <si>
    <t>22-09-2024</t>
  </si>
  <si>
    <t>29-09-2024</t>
  </si>
  <si>
    <t>13-10-2024</t>
  </si>
  <si>
    <t>20-10-2024</t>
  </si>
  <si>
    <t>27-10-2024</t>
  </si>
  <si>
    <t>17-11-2024</t>
  </si>
  <si>
    <t>24-11-2024</t>
  </si>
  <si>
    <t>15-12-2024</t>
  </si>
  <si>
    <t>22-12-2024</t>
  </si>
  <si>
    <t>29-12-2024</t>
  </si>
  <si>
    <t>19-01-2025</t>
  </si>
  <si>
    <t>26-01-2025</t>
  </si>
  <si>
    <t>16-02-2025</t>
  </si>
  <si>
    <t>23-02-2025</t>
  </si>
  <si>
    <t>16-03-2025</t>
  </si>
  <si>
    <t>23-03-2025</t>
  </si>
  <si>
    <t>30-03-2025</t>
  </si>
  <si>
    <t>13-04-2025</t>
  </si>
  <si>
    <t>20-04-2025</t>
  </si>
  <si>
    <t>27-04-2025</t>
  </si>
  <si>
    <t>18-05-2025</t>
  </si>
  <si>
    <t>25-05-2025</t>
  </si>
  <si>
    <t>15-06-2025</t>
  </si>
  <si>
    <t xml:space="preserve">Price </t>
  </si>
  <si>
    <t>Date</t>
  </si>
  <si>
    <t>SAEM</t>
  </si>
  <si>
    <t>SAIL</t>
  </si>
  <si>
    <t>JNSP</t>
  </si>
  <si>
    <t>TISC</t>
  </si>
  <si>
    <t>JSTL</t>
  </si>
  <si>
    <t>Nifty</t>
  </si>
  <si>
    <t>Peer Name</t>
  </si>
  <si>
    <t>Weekly Three Year data used for Regression</t>
  </si>
  <si>
    <t>Peers Levered Beta - Regression</t>
  </si>
  <si>
    <t xml:space="preserve">Company default spread </t>
  </si>
  <si>
    <t>Country Risk Premium</t>
  </si>
  <si>
    <t>Risk- free rate</t>
  </si>
  <si>
    <t>Cost of Debt Inputs</t>
  </si>
  <si>
    <t xml:space="preserve">Equity risk premium ( India) </t>
  </si>
  <si>
    <t>Mature market Base premium ( US )</t>
  </si>
  <si>
    <t>India country default spread</t>
  </si>
  <si>
    <t xml:space="preserve">10 Year Govt. bond Yeild ( India ) </t>
  </si>
  <si>
    <t>Cost of equity Inputs</t>
  </si>
  <si>
    <t>Other Input Calculations</t>
  </si>
  <si>
    <t>Forecasting</t>
  </si>
  <si>
    <t>10 year Average</t>
  </si>
  <si>
    <t>10 year Median</t>
  </si>
  <si>
    <t xml:space="preserve">10 year forecast </t>
  </si>
  <si>
    <t xml:space="preserve">forecasting method </t>
  </si>
  <si>
    <t>Y-O-Y growth</t>
  </si>
  <si>
    <t>Reinvestment growth</t>
  </si>
  <si>
    <t>Ticker</t>
  </si>
  <si>
    <t>Year End</t>
  </si>
  <si>
    <t>Current Stock price</t>
  </si>
  <si>
    <t>Implied Stock Price</t>
  </si>
  <si>
    <t xml:space="preserve">x </t>
  </si>
  <si>
    <t>Assumptions</t>
  </si>
  <si>
    <t>Switches</t>
  </si>
  <si>
    <t>Revenue</t>
  </si>
  <si>
    <t>WACC</t>
  </si>
  <si>
    <t>TGR</t>
  </si>
  <si>
    <t>Valuation</t>
  </si>
  <si>
    <t>Conservative</t>
  </si>
  <si>
    <t>Base</t>
  </si>
  <si>
    <t>Optimistic</t>
  </si>
  <si>
    <t>year</t>
  </si>
  <si>
    <t>metric</t>
  </si>
  <si>
    <t>% of sales</t>
  </si>
  <si>
    <t>% y-o-y growth</t>
  </si>
  <si>
    <t>Cash Flow Items</t>
  </si>
  <si>
    <t>D&amp;A</t>
  </si>
  <si>
    <t>CapEx</t>
  </si>
  <si>
    <t>Change in NWC</t>
  </si>
  <si>
    <t>%change in  of sales</t>
  </si>
  <si>
    <t>DCF</t>
  </si>
  <si>
    <t>Growth %</t>
  </si>
  <si>
    <t>conservative</t>
  </si>
  <si>
    <t>base</t>
  </si>
  <si>
    <t>optimistic</t>
  </si>
  <si>
    <t>revenue</t>
  </si>
  <si>
    <t>NOPAT / EBIAT</t>
  </si>
  <si>
    <t>31/12/2025</t>
  </si>
  <si>
    <t>21/6/2025</t>
  </si>
  <si>
    <t xml:space="preserve">x  </t>
  </si>
  <si>
    <t>UFCF</t>
  </si>
  <si>
    <t>discount period</t>
  </si>
  <si>
    <t>PV of UFCF</t>
  </si>
  <si>
    <t>TV</t>
  </si>
  <si>
    <t>PV of TV</t>
  </si>
  <si>
    <t xml:space="preserve">Enterprise value </t>
  </si>
  <si>
    <t>(+) Cash</t>
  </si>
  <si>
    <t>(-) Debt</t>
  </si>
  <si>
    <t>Equity Value</t>
  </si>
  <si>
    <t>NO. of shares outstanding</t>
  </si>
  <si>
    <t>Implied price per share</t>
  </si>
  <si>
    <t>Undervalued / (Overvalued)</t>
  </si>
  <si>
    <t>Debt / Equity</t>
  </si>
  <si>
    <t xml:space="preserve">Debt / Capital </t>
  </si>
  <si>
    <r>
      <t xml:space="preserve">Levered Beta </t>
    </r>
    <r>
      <rPr>
        <vertAlign val="superscript"/>
        <sz val="11"/>
        <color theme="1"/>
        <rFont val="Calibri"/>
        <family val="2"/>
      </rPr>
      <t>2</t>
    </r>
  </si>
  <si>
    <r>
      <t xml:space="preserve">Unlevered Beta </t>
    </r>
    <r>
      <rPr>
        <vertAlign val="superscript"/>
        <sz val="11"/>
        <color theme="1"/>
        <rFont val="Calibri"/>
        <family val="2"/>
      </rPr>
      <t>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</si>
</sst>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 * #,##0.00_ ;_ * \-#,##0.00_ ;_ * &quot;-&quot;??_ ;_ @_ "/>
    <numFmt numFmtId="165" formatCode="[$-409]mmm\-yy;@"/>
    <numFmt numFmtId="166" formatCode="\₹\ ###,##0.0;\(\₹\ #,##0.0\);\-"/>
    <numFmt numFmtId="167" formatCode="0.00&quot;x&quot;"/>
    <numFmt numFmtId="168" formatCode="yyyy&quot;A&quot;"/>
    <numFmt numFmtId="169" formatCode="yyyy&quot;E&quot;"/>
    <numFmt numFmtId="170" formatCode="#,##0.0_);\(#,##0.0\)"/>
    <numFmt numFmtId="171" formatCode="#,##0.0;\(#,##0.0\);\-"/>
    <numFmt numFmtId="172" formatCode="0.0%"/>
    <numFmt numFmtId="173" formatCode="0&quot;A&quot;"/>
    <numFmt numFmtId="174" formatCode="0.0%;\(0.0%\);\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sz val="11"/>
      <color rgb="FF7030A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171" fontId="1" fillId="4" borderId="0"/>
    <xf numFmtId="0" fontId="1" fillId="10" borderId="11" applyNumberFormat="0" applyFont="0" applyAlignment="0" applyProtection="0"/>
  </cellStyleXfs>
  <cellXfs count="212">
    <xf numFmtId="0" fontId="0" fillId="0" borderId="0" xfId="0"/>
    <xf numFmtId="164" fontId="3" fillId="0" borderId="0" xfId="1" applyFont="1" applyBorder="1"/>
    <xf numFmtId="164" fontId="0" fillId="0" borderId="0" xfId="1" applyFont="1" applyBorder="1"/>
    <xf numFmtId="165" fontId="2" fillId="3" borderId="0" xfId="1" applyNumberFormat="1" applyFont="1" applyFill="1" applyBorder="1"/>
    <xf numFmtId="165" fontId="2" fillId="3" borderId="0" xfId="0" applyNumberFormat="1" applyFont="1" applyFill="1" applyBorder="1" applyAlignment="1">
      <alignment horizontal="center"/>
    </xf>
    <xf numFmtId="165" fontId="6" fillId="0" borderId="0" xfId="1" applyNumberFormat="1" applyFont="1" applyFill="1" applyBorder="1"/>
    <xf numFmtId="164" fontId="1" fillId="0" borderId="0" xfId="1" applyFont="1" applyBorder="1"/>
    <xf numFmtId="43" fontId="0" fillId="0" borderId="0" xfId="1" applyNumberFormat="1" applyFont="1" applyBorder="1"/>
    <xf numFmtId="0" fontId="0" fillId="4" borderId="0" xfId="0" applyFill="1"/>
    <xf numFmtId="0" fontId="2" fillId="5" borderId="0" xfId="0" applyFont="1" applyFill="1"/>
    <xf numFmtId="17" fontId="2" fillId="5" borderId="0" xfId="0" applyNumberFormat="1" applyFont="1" applyFill="1" applyAlignment="1">
      <alignment horizontal="right"/>
    </xf>
    <xf numFmtId="0" fontId="3" fillId="4" borderId="0" xfId="0" applyFont="1" applyFill="1"/>
    <xf numFmtId="166" fontId="0" fillId="4" borderId="0" xfId="0" applyNumberFormat="1" applyFill="1"/>
    <xf numFmtId="0" fontId="0" fillId="4" borderId="0" xfId="0" applyFill="1" applyAlignment="1">
      <alignment horizontal="right"/>
    </xf>
    <xf numFmtId="10" fontId="0" fillId="4" borderId="0" xfId="2" applyNumberFormat="1" applyFont="1" applyFill="1"/>
    <xf numFmtId="10" fontId="7" fillId="4" borderId="0" xfId="2" applyNumberFormat="1" applyFont="1" applyFill="1"/>
    <xf numFmtId="0" fontId="7" fillId="4" borderId="0" xfId="0" applyFont="1" applyFill="1"/>
    <xf numFmtId="0" fontId="3" fillId="7" borderId="0" xfId="0" applyFont="1" applyFill="1"/>
    <xf numFmtId="0" fontId="0" fillId="7" borderId="0" xfId="0" applyFill="1"/>
    <xf numFmtId="166" fontId="3" fillId="4" borderId="0" xfId="0" applyNumberFormat="1" applyFont="1" applyFill="1"/>
    <xf numFmtId="0" fontId="3" fillId="4" borderId="1" xfId="0" applyFont="1" applyFill="1" applyBorder="1"/>
    <xf numFmtId="166" fontId="3" fillId="4" borderId="1" xfId="0" applyNumberFormat="1" applyFont="1" applyFill="1" applyBorder="1"/>
    <xf numFmtId="0" fontId="0" fillId="4" borderId="1" xfId="0" applyFill="1" applyBorder="1"/>
    <xf numFmtId="0" fontId="3" fillId="4" borderId="2" xfId="0" applyFont="1" applyFill="1" applyBorder="1"/>
    <xf numFmtId="166" fontId="3" fillId="4" borderId="2" xfId="0" applyNumberFormat="1" applyFont="1" applyFill="1" applyBorder="1"/>
    <xf numFmtId="0" fontId="0" fillId="4" borderId="0" xfId="0" applyFill="1" applyAlignment="1">
      <alignment wrapText="1"/>
    </xf>
    <xf numFmtId="167" fontId="0" fillId="4" borderId="0" xfId="0" applyNumberFormat="1" applyFill="1"/>
    <xf numFmtId="0" fontId="2" fillId="5" borderId="0" xfId="0" applyNumberFormat="1" applyFont="1" applyFill="1" applyAlignment="1">
      <alignment horizontal="right"/>
    </xf>
    <xf numFmtId="0" fontId="0" fillId="4" borderId="3" xfId="0" applyFill="1" applyBorder="1"/>
    <xf numFmtId="10" fontId="0" fillId="4" borderId="3" xfId="2" applyNumberFormat="1" applyFont="1" applyFill="1" applyBorder="1" applyAlignment="1">
      <alignment horizontal="right"/>
    </xf>
    <xf numFmtId="10" fontId="0" fillId="4" borderId="3" xfId="2" applyNumberFormat="1" applyFont="1" applyFill="1" applyBorder="1"/>
    <xf numFmtId="0" fontId="0" fillId="4" borderId="0" xfId="0" applyFill="1" applyBorder="1"/>
    <xf numFmtId="10" fontId="0" fillId="4" borderId="0" xfId="2" applyNumberFormat="1" applyFont="1" applyFill="1" applyBorder="1"/>
    <xf numFmtId="0" fontId="0" fillId="4" borderId="4" xfId="0" applyFill="1" applyBorder="1"/>
    <xf numFmtId="10" fontId="0" fillId="4" borderId="4" xfId="2" applyNumberFormat="1" applyFont="1" applyFill="1" applyBorder="1"/>
    <xf numFmtId="10" fontId="0" fillId="4" borderId="4" xfId="0" applyNumberFormat="1" applyFill="1" applyBorder="1"/>
    <xf numFmtId="10" fontId="0" fillId="4" borderId="3" xfId="0" applyNumberFormat="1" applyFill="1" applyBorder="1"/>
    <xf numFmtId="10" fontId="0" fillId="4" borderId="0" xfId="0" applyNumberFormat="1" applyFill="1" applyBorder="1"/>
    <xf numFmtId="167" fontId="0" fillId="4" borderId="4" xfId="0" applyNumberFormat="1" applyFill="1" applyBorder="1"/>
    <xf numFmtId="167" fontId="0" fillId="4" borderId="3" xfId="0" applyNumberFormat="1" applyFill="1" applyBorder="1"/>
    <xf numFmtId="167" fontId="0" fillId="4" borderId="0" xfId="0" applyNumberFormat="1" applyFill="1" applyBorder="1"/>
    <xf numFmtId="0" fontId="8" fillId="4" borderId="3" xfId="0" applyFont="1" applyFill="1" applyBorder="1"/>
    <xf numFmtId="1" fontId="0" fillId="4" borderId="0" xfId="0" applyNumberFormat="1" applyFill="1" applyBorder="1"/>
    <xf numFmtId="1" fontId="0" fillId="4" borderId="0" xfId="2" applyNumberFormat="1" applyFont="1" applyFill="1" applyBorder="1"/>
    <xf numFmtId="1" fontId="0" fillId="4" borderId="4" xfId="0" applyNumberFormat="1" applyFill="1" applyBorder="1"/>
    <xf numFmtId="1" fontId="0" fillId="4" borderId="4" xfId="2" applyNumberFormat="1" applyFont="1" applyFill="1" applyBorder="1"/>
    <xf numFmtId="0" fontId="2" fillId="5" borderId="0" xfId="0" applyFont="1" applyFill="1" applyAlignment="1">
      <alignment horizontal="right"/>
    </xf>
    <xf numFmtId="0" fontId="3" fillId="4" borderId="5" xfId="0" applyFont="1" applyFill="1" applyBorder="1"/>
    <xf numFmtId="17" fontId="3" fillId="4" borderId="5" xfId="0" applyNumberFormat="1" applyFont="1" applyFill="1" applyBorder="1"/>
    <xf numFmtId="3" fontId="3" fillId="4" borderId="0" xfId="0" applyNumberFormat="1" applyFont="1" applyFill="1"/>
    <xf numFmtId="3" fontId="0" fillId="4" borderId="0" xfId="0" applyNumberFormat="1" applyFill="1"/>
    <xf numFmtId="3" fontId="9" fillId="4" borderId="0" xfId="0" applyNumberFormat="1" applyFont="1" applyFill="1"/>
    <xf numFmtId="0" fontId="9" fillId="4" borderId="0" xfId="0" applyFont="1" applyFill="1"/>
    <xf numFmtId="0" fontId="11" fillId="4" borderId="0" xfId="0" applyFont="1" applyFill="1"/>
    <xf numFmtId="3" fontId="11" fillId="4" borderId="0" xfId="0" applyNumberFormat="1" applyFont="1" applyFill="1"/>
    <xf numFmtId="0" fontId="0" fillId="8" borderId="0" xfId="0" applyFill="1"/>
    <xf numFmtId="166" fontId="0" fillId="8" borderId="0" xfId="0" applyNumberFormat="1" applyFill="1"/>
    <xf numFmtId="0" fontId="12" fillId="4" borderId="0" xfId="0" applyFont="1" applyFill="1"/>
    <xf numFmtId="171" fontId="1" fillId="4" borderId="0" xfId="5"/>
    <xf numFmtId="171" fontId="1" fillId="4" borderId="0" xfId="5" applyFill="1"/>
    <xf numFmtId="0" fontId="3" fillId="4" borderId="6" xfId="0" applyFont="1" applyFill="1" applyBorder="1"/>
    <xf numFmtId="171" fontId="3" fillId="4" borderId="6" xfId="5" applyFont="1" applyFill="1" applyBorder="1"/>
    <xf numFmtId="10" fontId="0" fillId="4" borderId="0" xfId="0" applyNumberFormat="1" applyFill="1"/>
    <xf numFmtId="0" fontId="0" fillId="9" borderId="0" xfId="0" applyFill="1"/>
    <xf numFmtId="171" fontId="1" fillId="9" borderId="0" xfId="5" applyFill="1"/>
    <xf numFmtId="170" fontId="0" fillId="9" borderId="0" xfId="0" applyNumberFormat="1" applyFill="1"/>
    <xf numFmtId="0" fontId="10" fillId="9" borderId="0" xfId="0" applyFont="1" applyFill="1"/>
    <xf numFmtId="9" fontId="10" fillId="9" borderId="0" xfId="0" applyNumberFormat="1" applyFont="1" applyFill="1"/>
    <xf numFmtId="9" fontId="0" fillId="9" borderId="0" xfId="2" applyFont="1" applyFill="1"/>
    <xf numFmtId="172" fontId="0" fillId="9" borderId="0" xfId="2" applyNumberFormat="1" applyFont="1" applyFill="1"/>
    <xf numFmtId="10" fontId="0" fillId="9" borderId="0" xfId="0" applyNumberFormat="1" applyFill="1"/>
    <xf numFmtId="0" fontId="3" fillId="4" borderId="7" xfId="0" applyFont="1" applyFill="1" applyBorder="1"/>
    <xf numFmtId="0" fontId="3" fillId="4" borderId="0" xfId="0" applyFont="1" applyFill="1" applyBorder="1" applyAlignment="1">
      <alignment wrapText="1"/>
    </xf>
    <xf numFmtId="0" fontId="3" fillId="6" borderId="0" xfId="0" applyFont="1" applyFill="1" applyBorder="1" applyAlignment="1">
      <alignment wrapText="1"/>
    </xf>
    <xf numFmtId="0" fontId="3" fillId="6" borderId="8" xfId="0" applyFont="1" applyFill="1" applyBorder="1" applyAlignment="1">
      <alignment wrapText="1"/>
    </xf>
    <xf numFmtId="168" fontId="3" fillId="4" borderId="0" xfId="0" applyNumberFormat="1" applyFont="1" applyFill="1" applyBorder="1"/>
    <xf numFmtId="169" fontId="3" fillId="6" borderId="0" xfId="0" applyNumberFormat="1" applyFont="1" applyFill="1" applyBorder="1"/>
    <xf numFmtId="169" fontId="3" fillId="6" borderId="8" xfId="0" applyNumberFormat="1" applyFont="1" applyFill="1" applyBorder="1"/>
    <xf numFmtId="171" fontId="1" fillId="4" borderId="0" xfId="5" applyBorder="1"/>
    <xf numFmtId="171" fontId="1" fillId="6" borderId="0" xfId="5" applyFill="1" applyBorder="1"/>
    <xf numFmtId="171" fontId="1" fillId="6" borderId="8" xfId="5" applyFill="1" applyBorder="1"/>
    <xf numFmtId="10" fontId="0" fillId="4" borderId="5" xfId="2" applyNumberFormat="1" applyFont="1" applyFill="1" applyBorder="1"/>
    <xf numFmtId="10" fontId="0" fillId="6" borderId="5" xfId="2" applyNumberFormat="1" applyFont="1" applyFill="1" applyBorder="1"/>
    <xf numFmtId="0" fontId="3" fillId="4" borderId="9" xfId="0" applyFont="1" applyFill="1" applyBorder="1"/>
    <xf numFmtId="10" fontId="0" fillId="6" borderId="10" xfId="2" applyNumberFormat="1" applyFont="1" applyFill="1" applyBorder="1"/>
    <xf numFmtId="10" fontId="0" fillId="4" borderId="5" xfId="0" applyNumberFormat="1" applyFill="1" applyBorder="1"/>
    <xf numFmtId="0" fontId="13" fillId="4" borderId="0" xfId="0" applyFont="1" applyFill="1"/>
    <xf numFmtId="10" fontId="13" fillId="4" borderId="0" xfId="2" applyNumberFormat="1" applyFont="1" applyFill="1"/>
    <xf numFmtId="10" fontId="13" fillId="4" borderId="0" xfId="0" applyNumberFormat="1" applyFont="1" applyFill="1"/>
    <xf numFmtId="172" fontId="1" fillId="4" borderId="0" xfId="2" applyNumberFormat="1" applyFill="1"/>
    <xf numFmtId="0" fontId="14" fillId="4" borderId="0" xfId="0" applyFont="1" applyFill="1"/>
    <xf numFmtId="9" fontId="0" fillId="4" borderId="0" xfId="2" applyFont="1" applyFill="1"/>
    <xf numFmtId="0" fontId="11" fillId="4" borderId="0" xfId="0" applyFont="1" applyFill="1" applyAlignment="1">
      <alignment vertical="top"/>
    </xf>
    <xf numFmtId="10" fontId="3" fillId="9" borderId="3" xfId="0" applyNumberFormat="1" applyFont="1" applyFill="1" applyBorder="1"/>
    <xf numFmtId="0" fontId="3" fillId="4" borderId="3" xfId="0" applyFont="1" applyFill="1" applyBorder="1"/>
    <xf numFmtId="10" fontId="16" fillId="4" borderId="0" xfId="0" applyNumberFormat="1" applyFont="1" applyFill="1"/>
    <xf numFmtId="0" fontId="3" fillId="4" borderId="12" xfId="0" applyFont="1" applyFill="1" applyBorder="1" applyAlignment="1">
      <alignment horizontal="right"/>
    </xf>
    <xf numFmtId="0" fontId="3" fillId="4" borderId="13" xfId="0" applyFont="1" applyFill="1" applyBorder="1"/>
    <xf numFmtId="0" fontId="0" fillId="4" borderId="13" xfId="0" applyFill="1" applyBorder="1"/>
    <xf numFmtId="10" fontId="0" fillId="9" borderId="0" xfId="2" applyNumberFormat="1" applyFont="1" applyFill="1"/>
    <xf numFmtId="2" fontId="0" fillId="4" borderId="3" xfId="0" applyNumberFormat="1" applyFill="1" applyBorder="1"/>
    <xf numFmtId="10" fontId="17" fillId="4" borderId="3" xfId="2" applyNumberFormat="1" applyFont="1" applyFill="1" applyBorder="1"/>
    <xf numFmtId="171" fontId="16" fillId="4" borderId="0" xfId="0" applyNumberFormat="1" applyFont="1" applyFill="1"/>
    <xf numFmtId="2" fontId="16" fillId="4" borderId="0" xfId="0" applyNumberFormat="1" applyFont="1" applyFill="1"/>
    <xf numFmtId="10" fontId="0" fillId="9" borderId="3" xfId="2" applyNumberFormat="1" applyFont="1" applyFill="1" applyBorder="1"/>
    <xf numFmtId="10" fontId="18" fillId="4" borderId="0" xfId="0" applyNumberFormat="1" applyFont="1" applyFill="1"/>
    <xf numFmtId="2" fontId="0" fillId="9" borderId="13" xfId="0" applyNumberFormat="1" applyFill="1" applyBorder="1"/>
    <xf numFmtId="2" fontId="0" fillId="4" borderId="13" xfId="0" applyNumberFormat="1" applyFont="1" applyFill="1" applyBorder="1"/>
    <xf numFmtId="10" fontId="0" fillId="9" borderId="13" xfId="2" applyNumberFormat="1" applyFont="1" applyFill="1" applyBorder="1"/>
    <xf numFmtId="10" fontId="0" fillId="4" borderId="13" xfId="0" applyNumberFormat="1" applyFill="1" applyBorder="1"/>
    <xf numFmtId="2" fontId="0" fillId="9" borderId="14" xfId="0" applyNumberFormat="1" applyFill="1" applyBorder="1"/>
    <xf numFmtId="2" fontId="0" fillId="4" borderId="14" xfId="0" applyNumberFormat="1" applyFont="1" applyFill="1" applyBorder="1"/>
    <xf numFmtId="10" fontId="0" fillId="9" borderId="14" xfId="2" applyNumberFormat="1" applyFont="1" applyFill="1" applyBorder="1"/>
    <xf numFmtId="10" fontId="0" fillId="4" borderId="14" xfId="0" applyNumberFormat="1" applyFill="1" applyBorder="1"/>
    <xf numFmtId="0" fontId="3" fillId="4" borderId="14" xfId="0" applyFont="1" applyFill="1" applyBorder="1"/>
    <xf numFmtId="2" fontId="0" fillId="9" borderId="0" xfId="0" applyNumberFormat="1" applyFill="1"/>
    <xf numFmtId="2" fontId="17" fillId="4" borderId="0" xfId="0" applyNumberFormat="1" applyFont="1" applyFill="1"/>
    <xf numFmtId="10" fontId="17" fillId="4" borderId="0" xfId="0" applyNumberFormat="1" applyFont="1" applyFill="1"/>
    <xf numFmtId="171" fontId="17" fillId="4" borderId="0" xfId="0" applyNumberFormat="1" applyFont="1" applyFill="1"/>
    <xf numFmtId="0" fontId="17" fillId="4" borderId="0" xfId="0" applyFont="1" applyFill="1"/>
    <xf numFmtId="2" fontId="0" fillId="11" borderId="0" xfId="0" applyNumberFormat="1" applyFill="1"/>
    <xf numFmtId="2" fontId="17" fillId="11" borderId="0" xfId="0" applyNumberFormat="1" applyFont="1" applyFill="1"/>
    <xf numFmtId="10" fontId="0" fillId="11" borderId="0" xfId="2" applyNumberFormat="1" applyFont="1" applyFill="1"/>
    <xf numFmtId="10" fontId="17" fillId="11" borderId="0" xfId="0" applyNumberFormat="1" applyFont="1" applyFill="1"/>
    <xf numFmtId="171" fontId="17" fillId="11" borderId="0" xfId="0" applyNumberFormat="1" applyFont="1" applyFill="1"/>
    <xf numFmtId="0" fontId="17" fillId="11" borderId="0" xfId="0" applyFont="1" applyFill="1"/>
    <xf numFmtId="0" fontId="0" fillId="4" borderId="15" xfId="0" applyFill="1" applyBorder="1"/>
    <xf numFmtId="0" fontId="19" fillId="7" borderId="0" xfId="0" applyFont="1" applyFill="1"/>
    <xf numFmtId="0" fontId="0" fillId="4" borderId="17" xfId="0" applyFill="1" applyBorder="1"/>
    <xf numFmtId="10" fontId="0" fillId="4" borderId="18" xfId="2" applyNumberFormat="1" applyFont="1" applyFill="1" applyBorder="1"/>
    <xf numFmtId="171" fontId="1" fillId="4" borderId="19" xfId="5" applyBorder="1"/>
    <xf numFmtId="10" fontId="0" fillId="4" borderId="15" xfId="2" applyNumberFormat="1" applyFont="1" applyFill="1" applyBorder="1"/>
    <xf numFmtId="171" fontId="1" fillId="4" borderId="15" xfId="5" applyBorder="1"/>
    <xf numFmtId="14" fontId="0" fillId="4" borderId="19" xfId="0" applyNumberFormat="1" applyFill="1" applyBorder="1" applyAlignment="1">
      <alignment horizontal="left"/>
    </xf>
    <xf numFmtId="171" fontId="1" fillId="4" borderId="17" xfId="5" applyBorder="1"/>
    <xf numFmtId="14" fontId="0" fillId="4" borderId="17" xfId="0" applyNumberFormat="1" applyFill="1" applyBorder="1" applyAlignment="1">
      <alignment horizontal="left"/>
    </xf>
    <xf numFmtId="0" fontId="20" fillId="4" borderId="0" xfId="0" applyFont="1" applyFill="1" applyAlignment="1">
      <alignment horizontal="right"/>
    </xf>
    <xf numFmtId="0" fontId="20" fillId="4" borderId="17" xfId="0" applyFont="1" applyFill="1" applyBorder="1" applyAlignment="1">
      <alignment horizontal="right"/>
    </xf>
    <xf numFmtId="0" fontId="20" fillId="4" borderId="17" xfId="0" applyFont="1" applyFill="1" applyBorder="1"/>
    <xf numFmtId="0" fontId="2" fillId="5" borderId="17" xfId="0" applyFont="1" applyFill="1" applyBorder="1" applyAlignment="1">
      <alignment horizontal="right"/>
    </xf>
    <xf numFmtId="0" fontId="2" fillId="5" borderId="17" xfId="0" applyFont="1" applyFill="1" applyBorder="1"/>
    <xf numFmtId="2" fontId="0" fillId="4" borderId="0" xfId="0" applyNumberFormat="1" applyFill="1"/>
    <xf numFmtId="0" fontId="3" fillId="4" borderId="15" xfId="0" applyFont="1" applyFill="1" applyBorder="1" applyAlignment="1">
      <alignment horizontal="right"/>
    </xf>
    <xf numFmtId="0" fontId="3" fillId="4" borderId="15" xfId="0" applyFont="1" applyFill="1" applyBorder="1" applyAlignment="1">
      <alignment horizontal="left"/>
    </xf>
    <xf numFmtId="0" fontId="10" fillId="4" borderId="0" xfId="0" applyFont="1" applyFill="1"/>
    <xf numFmtId="0" fontId="19" fillId="4" borderId="0" xfId="0" applyFont="1" applyFill="1"/>
    <xf numFmtId="10" fontId="17" fillId="4" borderId="0" xfId="2" applyNumberFormat="1" applyFont="1" applyFill="1"/>
    <xf numFmtId="0" fontId="21" fillId="4" borderId="0" xfId="0" applyFont="1" applyFill="1"/>
    <xf numFmtId="0" fontId="3" fillId="4" borderId="0" xfId="0" applyFont="1" applyFill="1" applyBorder="1"/>
    <xf numFmtId="10" fontId="0" fillId="4" borderId="15" xfId="0" applyNumberFormat="1" applyFill="1" applyBorder="1"/>
    <xf numFmtId="0" fontId="2" fillId="5" borderId="20" xfId="0" applyFont="1" applyFill="1" applyBorder="1"/>
    <xf numFmtId="0" fontId="2" fillId="5" borderId="16" xfId="0" applyFont="1" applyFill="1" applyBorder="1"/>
    <xf numFmtId="0" fontId="2" fillId="5" borderId="21" xfId="0" applyFont="1" applyFill="1" applyBorder="1"/>
    <xf numFmtId="0" fontId="3" fillId="4" borderId="17" xfId="0" applyFont="1" applyFill="1" applyBorder="1"/>
    <xf numFmtId="0" fontId="0" fillId="4" borderId="22" xfId="0" applyFill="1" applyBorder="1"/>
    <xf numFmtId="0" fontId="3" fillId="4" borderId="19" xfId="0" applyFont="1" applyFill="1" applyBorder="1"/>
    <xf numFmtId="0" fontId="0" fillId="4" borderId="18" xfId="0" applyFill="1" applyBorder="1"/>
    <xf numFmtId="17" fontId="2" fillId="4" borderId="0" xfId="0" applyNumberFormat="1" applyFont="1" applyFill="1" applyAlignment="1">
      <alignment horizontal="right"/>
    </xf>
    <xf numFmtId="0" fontId="10" fillId="4" borderId="0" xfId="0" applyFont="1" applyFill="1" applyAlignment="1">
      <alignment horizontal="left" indent="2"/>
    </xf>
    <xf numFmtId="0" fontId="3" fillId="12" borderId="0" xfId="0" applyFont="1" applyFill="1" applyAlignment="1">
      <alignment horizontal="center"/>
    </xf>
    <xf numFmtId="0" fontId="0" fillId="4" borderId="7" xfId="0" applyFont="1" applyFill="1" applyBorder="1"/>
    <xf numFmtId="0" fontId="0" fillId="4" borderId="9" xfId="0" applyFont="1" applyFill="1" applyBorder="1"/>
    <xf numFmtId="10" fontId="1" fillId="6" borderId="8" xfId="2" applyNumberFormat="1" applyFill="1" applyBorder="1"/>
    <xf numFmtId="10" fontId="1" fillId="6" borderId="0" xfId="2" applyNumberFormat="1" applyFill="1" applyBorder="1"/>
    <xf numFmtId="171" fontId="1" fillId="6" borderId="0" xfId="5" applyFill="1"/>
    <xf numFmtId="10" fontId="22" fillId="4" borderId="0" xfId="2" applyNumberFormat="1" applyFont="1" applyFill="1" applyBorder="1"/>
    <xf numFmtId="10" fontId="22" fillId="4" borderId="8" xfId="2" applyNumberFormat="1" applyFont="1" applyFill="1" applyBorder="1"/>
    <xf numFmtId="10" fontId="22" fillId="4" borderId="5" xfId="2" applyNumberFormat="1" applyFont="1" applyFill="1" applyBorder="1"/>
    <xf numFmtId="10" fontId="22" fillId="4" borderId="10" xfId="2" applyNumberFormat="1" applyFont="1" applyFill="1" applyBorder="1"/>
    <xf numFmtId="0" fontId="21" fillId="4" borderId="15" xfId="0" applyFont="1" applyFill="1" applyBorder="1"/>
    <xf numFmtId="0" fontId="0" fillId="10" borderId="11" xfId="6" applyFont="1"/>
    <xf numFmtId="0" fontId="0" fillId="13" borderId="0" xfId="0" applyFill="1"/>
    <xf numFmtId="0" fontId="2" fillId="13" borderId="0" xfId="0" applyFont="1" applyFill="1"/>
    <xf numFmtId="0" fontId="0" fillId="14" borderId="0" xfId="0" applyFill="1"/>
    <xf numFmtId="0" fontId="2" fillId="14" borderId="0" xfId="0" applyFont="1" applyFill="1"/>
    <xf numFmtId="0" fontId="20" fillId="4" borderId="0" xfId="0" applyFont="1" applyFill="1"/>
    <xf numFmtId="173" fontId="2" fillId="13" borderId="0" xfId="0" applyNumberFormat="1" applyFont="1" applyFill="1"/>
    <xf numFmtId="0" fontId="10" fillId="4" borderId="0" xfId="0" applyFont="1" applyFill="1" applyAlignment="1">
      <alignment horizontal="left" indent="1"/>
    </xf>
    <xf numFmtId="172" fontId="0" fillId="4" borderId="0" xfId="2" applyNumberFormat="1" applyFont="1" applyFill="1"/>
    <xf numFmtId="171" fontId="18" fillId="4" borderId="0" xfId="5" applyFont="1"/>
    <xf numFmtId="171" fontId="16" fillId="4" borderId="0" xfId="5" applyFont="1"/>
    <xf numFmtId="172" fontId="16" fillId="4" borderId="0" xfId="2" applyNumberFormat="1" applyFont="1" applyFill="1"/>
    <xf numFmtId="172" fontId="0" fillId="10" borderId="11" xfId="6" applyNumberFormat="1" applyFont="1"/>
    <xf numFmtId="172" fontId="17" fillId="10" borderId="11" xfId="6" applyNumberFormat="1" applyFont="1"/>
    <xf numFmtId="172" fontId="16" fillId="10" borderId="11" xfId="6" applyNumberFormat="1" applyFont="1"/>
    <xf numFmtId="172" fontId="0" fillId="10" borderId="11" xfId="2" applyNumberFormat="1" applyFont="1" applyFill="1" applyBorder="1"/>
    <xf numFmtId="172" fontId="0" fillId="4" borderId="0" xfId="0" applyNumberFormat="1" applyFill="1"/>
    <xf numFmtId="172" fontId="16" fillId="4" borderId="0" xfId="0" applyNumberFormat="1" applyFont="1" applyFill="1"/>
    <xf numFmtId="171" fontId="3" fillId="4" borderId="6" xfId="5" applyFont="1" applyBorder="1"/>
    <xf numFmtId="14" fontId="0" fillId="10" borderId="11" xfId="6" applyNumberFormat="1" applyFont="1"/>
    <xf numFmtId="10" fontId="0" fillId="10" borderId="11" xfId="6" applyNumberFormat="1" applyFont="1"/>
    <xf numFmtId="10" fontId="23" fillId="10" borderId="11" xfId="6" applyNumberFormat="1" applyFont="1"/>
    <xf numFmtId="10" fontId="17" fillId="10" borderId="11" xfId="6" applyNumberFormat="1" applyFont="1"/>
    <xf numFmtId="172" fontId="23" fillId="10" borderId="11" xfId="6" applyNumberFormat="1" applyFont="1"/>
    <xf numFmtId="171" fontId="3" fillId="4" borderId="0" xfId="5" applyFont="1"/>
    <xf numFmtId="0" fontId="3" fillId="4" borderId="23" xfId="0" applyFont="1" applyFill="1" applyBorder="1"/>
    <xf numFmtId="0" fontId="3" fillId="4" borderId="24" xfId="0" applyFont="1" applyFill="1" applyBorder="1"/>
    <xf numFmtId="171" fontId="3" fillId="4" borderId="24" xfId="5" applyFont="1" applyBorder="1"/>
    <xf numFmtId="171" fontId="3" fillId="4" borderId="25" xfId="5" applyFont="1" applyBorder="1"/>
    <xf numFmtId="0" fontId="3" fillId="4" borderId="26" xfId="0" applyFont="1" applyFill="1" applyBorder="1"/>
    <xf numFmtId="0" fontId="3" fillId="4" borderId="27" xfId="0" applyFont="1" applyFill="1" applyBorder="1"/>
    <xf numFmtId="171" fontId="3" fillId="4" borderId="0" xfId="5" applyFont="1" applyBorder="1"/>
    <xf numFmtId="171" fontId="3" fillId="4" borderId="27" xfId="5" applyFont="1" applyBorder="1"/>
    <xf numFmtId="0" fontId="3" fillId="4" borderId="28" xfId="0" applyFont="1" applyFill="1" applyBorder="1"/>
    <xf numFmtId="0" fontId="3" fillId="4" borderId="29" xfId="0" applyFont="1" applyFill="1" applyBorder="1"/>
    <xf numFmtId="0" fontId="3" fillId="4" borderId="30" xfId="0" applyFont="1" applyFill="1" applyBorder="1"/>
    <xf numFmtId="171" fontId="3" fillId="4" borderId="0" xfId="0" applyNumberFormat="1" applyFont="1" applyFill="1"/>
    <xf numFmtId="0" fontId="0" fillId="10" borderId="11" xfId="6" applyFont="1" applyAlignment="1">
      <alignment horizontal="right"/>
    </xf>
    <xf numFmtId="174" fontId="3" fillId="4" borderId="0" xfId="2" applyNumberFormat="1" applyFont="1" applyFill="1"/>
    <xf numFmtId="0" fontId="2" fillId="5" borderId="0" xfId="0" applyFont="1" applyFill="1" applyAlignment="1">
      <alignment horizontal="center"/>
    </xf>
    <xf numFmtId="164" fontId="5" fillId="0" borderId="0" xfId="4" applyNumberFormat="1" applyBorder="1" applyAlignment="1" applyProtection="1">
      <alignment horizontal="center"/>
    </xf>
    <xf numFmtId="164" fontId="2" fillId="2" borderId="0" xfId="3" applyNumberFormat="1" applyFont="1" applyBorder="1" applyAlignment="1">
      <alignment horizontal="center"/>
    </xf>
  </cellXfs>
  <cellStyles count="7">
    <cellStyle name="Accent6" xfId="3" builtinId="49"/>
    <cellStyle name="Comma" xfId="1" builtinId="3"/>
    <cellStyle name="formula ref" xfId="5"/>
    <cellStyle name="Hyperlink" xfId="4" builtinId="8"/>
    <cellStyle name="Normal" xfId="0" builtinId="0"/>
    <cellStyle name="Note" xfId="6" builtinId="10"/>
    <cellStyle name="Percent" xfId="2" builtinId="5"/>
  </cellStyles>
  <dxfs count="1">
    <dxf>
      <font>
        <b/>
        <i val="0"/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screener.in/excel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T86"/>
  <sheetViews>
    <sheetView topLeftCell="A11" zoomScale="83" zoomScaleNormal="83" workbookViewId="0">
      <selection activeCell="R11" sqref="R11"/>
    </sheetView>
  </sheetViews>
  <sheetFormatPr defaultRowHeight="14.5" x14ac:dyDescent="0.35"/>
  <cols>
    <col min="1" max="1" width="1.90625" style="8" customWidth="1"/>
    <col min="2" max="2" width="8.7265625" style="8"/>
    <col min="3" max="3" width="10.453125" style="8" bestFit="1" customWidth="1"/>
    <col min="4" max="4" width="8.7265625" style="8"/>
    <col min="5" max="6" width="8.08984375" style="8" customWidth="1"/>
    <col min="7" max="7" width="11.6328125" style="8" bestFit="1" customWidth="1"/>
    <col min="8" max="9" width="9.08984375" style="8" bestFit="1" customWidth="1"/>
    <col min="10" max="10" width="8.08984375" style="8" customWidth="1"/>
    <col min="11" max="14" width="9.08984375" style="8" bestFit="1" customWidth="1"/>
    <col min="15" max="16" width="9" style="8" bestFit="1" customWidth="1"/>
    <col min="17" max="17" width="11.81640625" style="8" bestFit="1" customWidth="1"/>
    <col min="18" max="19" width="9" style="8" bestFit="1" customWidth="1"/>
    <col min="20" max="16384" width="8.7265625" style="8"/>
  </cols>
  <sheetData>
    <row r="1" spans="1:20" s="126" customFormat="1" ht="18.5" x14ac:dyDescent="0.45">
      <c r="B1" s="169" t="s">
        <v>235</v>
      </c>
    </row>
    <row r="3" spans="1:20" x14ac:dyDescent="0.35">
      <c r="B3" s="8" t="s">
        <v>379</v>
      </c>
      <c r="C3" s="207" t="s">
        <v>357</v>
      </c>
      <c r="E3" s="11" t="s">
        <v>381</v>
      </c>
      <c r="F3" s="11"/>
      <c r="G3" s="11"/>
      <c r="H3" s="194">
        <v>1007.55</v>
      </c>
    </row>
    <row r="4" spans="1:20" x14ac:dyDescent="0.35">
      <c r="B4" s="8" t="s">
        <v>352</v>
      </c>
      <c r="C4" s="189" t="s">
        <v>410</v>
      </c>
      <c r="E4" s="11" t="s">
        <v>382</v>
      </c>
      <c r="F4" s="11"/>
      <c r="G4" s="11"/>
      <c r="H4" s="206">
        <f ca="1">G84</f>
        <v>438.80436156006186</v>
      </c>
    </row>
    <row r="5" spans="1:20" x14ac:dyDescent="0.35">
      <c r="B5" s="8" t="s">
        <v>380</v>
      </c>
      <c r="C5" s="189" t="s">
        <v>409</v>
      </c>
      <c r="E5" s="11" t="s">
        <v>423</v>
      </c>
      <c r="F5" s="11"/>
      <c r="G5" s="11"/>
      <c r="H5" s="208">
        <f ca="1">H3/H4-1</f>
        <v>1.2961257641512534</v>
      </c>
    </row>
    <row r="7" spans="1:20" x14ac:dyDescent="0.35">
      <c r="A7" s="8" t="s">
        <v>383</v>
      </c>
      <c r="B7" s="172" t="s">
        <v>384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</row>
    <row r="9" spans="1:20" x14ac:dyDescent="0.35">
      <c r="B9" s="174" t="s">
        <v>385</v>
      </c>
      <c r="C9" s="173"/>
      <c r="D9" s="173"/>
      <c r="E9" s="173"/>
      <c r="G9" s="174" t="s">
        <v>390</v>
      </c>
      <c r="H9" s="173"/>
      <c r="I9" s="173"/>
      <c r="J9" s="173"/>
      <c r="L9" s="174" t="s">
        <v>391</v>
      </c>
      <c r="M9" s="173"/>
      <c r="N9" s="173"/>
      <c r="O9" s="173"/>
      <c r="Q9" s="174" t="s">
        <v>392</v>
      </c>
      <c r="R9" s="173"/>
      <c r="S9" s="173"/>
      <c r="T9" s="173"/>
    </row>
    <row r="10" spans="1:20" x14ac:dyDescent="0.35">
      <c r="B10" s="175" t="s">
        <v>384</v>
      </c>
      <c r="G10" s="175" t="s">
        <v>384</v>
      </c>
      <c r="I10" s="136" t="s">
        <v>393</v>
      </c>
      <c r="J10" s="136" t="s">
        <v>394</v>
      </c>
      <c r="L10" s="175" t="s">
        <v>384</v>
      </c>
      <c r="N10" s="136" t="s">
        <v>393</v>
      </c>
      <c r="O10" s="136" t="s">
        <v>394</v>
      </c>
      <c r="Q10" s="175" t="s">
        <v>384</v>
      </c>
      <c r="S10" s="136" t="s">
        <v>393</v>
      </c>
      <c r="T10" s="136" t="s">
        <v>394</v>
      </c>
    </row>
    <row r="11" spans="1:20" x14ac:dyDescent="0.35">
      <c r="B11" s="8" t="s">
        <v>386</v>
      </c>
      <c r="E11" s="170">
        <v>3</v>
      </c>
      <c r="G11" s="8" t="s">
        <v>407</v>
      </c>
      <c r="I11" s="8">
        <v>2026</v>
      </c>
      <c r="J11" s="182">
        <f>O11-0.03</f>
        <v>0.11455151095204244</v>
      </c>
      <c r="L11" s="8" t="s">
        <v>407</v>
      </c>
      <c r="N11" s="8">
        <v>2026</v>
      </c>
      <c r="O11" s="193">
        <f>CHOOSE(DCF!E12,Growth!C27,Growth!E27)</f>
        <v>0.14455151095204244</v>
      </c>
      <c r="Q11" s="8" t="s">
        <v>407</v>
      </c>
      <c r="S11" s="8">
        <v>2026</v>
      </c>
      <c r="T11" s="182">
        <f>O11+0.03</f>
        <v>0.17455151095204244</v>
      </c>
    </row>
    <row r="12" spans="1:20" x14ac:dyDescent="0.35">
      <c r="B12" s="8" t="str">
        <f>"Growth rate-"&amp;IF( E12=1,"y-o-y growth",IF(E12=2,"reinvestment Rate",""))</f>
        <v>Growth rate-y-o-y growth</v>
      </c>
      <c r="E12" s="170">
        <v>1</v>
      </c>
      <c r="G12" s="8" t="s">
        <v>407</v>
      </c>
      <c r="I12" s="8">
        <v>2030</v>
      </c>
      <c r="J12" s="182">
        <f>O12-0.03</f>
        <v>0.08</v>
      </c>
      <c r="L12" s="8" t="s">
        <v>407</v>
      </c>
      <c r="N12" s="8">
        <v>2030</v>
      </c>
      <c r="O12" s="183">
        <f>CHOOSE(E12,11%,8%)</f>
        <v>0.11</v>
      </c>
      <c r="Q12" s="8" t="s">
        <v>407</v>
      </c>
      <c r="S12" s="8">
        <v>2030</v>
      </c>
      <c r="T12" s="182">
        <f>O12+0.03</f>
        <v>0.14000000000000001</v>
      </c>
    </row>
    <row r="13" spans="1:20" x14ac:dyDescent="0.35">
      <c r="B13" s="8" t="s">
        <v>387</v>
      </c>
      <c r="E13" s="170">
        <v>2</v>
      </c>
      <c r="L13" s="8" t="s">
        <v>398</v>
      </c>
      <c r="N13" s="8">
        <v>2030</v>
      </c>
      <c r="O13" s="183">
        <v>0.06</v>
      </c>
    </row>
    <row r="14" spans="1:20" x14ac:dyDescent="0.35">
      <c r="B14" s="8" t="s">
        <v>388</v>
      </c>
      <c r="E14" s="170">
        <v>2</v>
      </c>
      <c r="L14" s="8" t="s">
        <v>399</v>
      </c>
      <c r="N14" s="8">
        <v>2030</v>
      </c>
      <c r="O14" s="183">
        <v>7.0000000000000007E-2</v>
      </c>
    </row>
    <row r="16" spans="1:20" x14ac:dyDescent="0.35">
      <c r="B16" s="175" t="s">
        <v>389</v>
      </c>
    </row>
    <row r="17" spans="1:20" x14ac:dyDescent="0.35">
      <c r="B17" s="8" t="s">
        <v>387</v>
      </c>
      <c r="E17" s="182">
        <f>CHOOSE(E13,J17,O17,T17)</f>
        <v>0.11237886441193837</v>
      </c>
      <c r="G17" s="8" t="s">
        <v>387</v>
      </c>
      <c r="J17" s="190">
        <f>O17+0.03</f>
        <v>0.14237886441193837</v>
      </c>
      <c r="L17" s="8" t="s">
        <v>387</v>
      </c>
      <c r="O17" s="191">
        <f>WACC!E38</f>
        <v>0.11237886441193837</v>
      </c>
      <c r="Q17" s="8" t="s">
        <v>387</v>
      </c>
      <c r="T17" s="190">
        <f>O17-0.03</f>
        <v>8.2378864411938368E-2</v>
      </c>
    </row>
    <row r="18" spans="1:20" x14ac:dyDescent="0.35">
      <c r="B18" s="8" t="s">
        <v>388</v>
      </c>
      <c r="E18" s="182">
        <f>CHOOSE(E14,J18,O18,T18)</f>
        <v>2.5000000000000001E-2</v>
      </c>
      <c r="G18" s="8" t="s">
        <v>388</v>
      </c>
      <c r="J18" s="192">
        <v>0.02</v>
      </c>
      <c r="L18" s="8" t="s">
        <v>388</v>
      </c>
      <c r="O18" s="192">
        <v>2.5000000000000001E-2</v>
      </c>
      <c r="Q18" s="8" t="s">
        <v>388</v>
      </c>
      <c r="T18" s="192">
        <v>0.03</v>
      </c>
    </row>
    <row r="20" spans="1:20" x14ac:dyDescent="0.35">
      <c r="A20" s="8" t="s">
        <v>383</v>
      </c>
      <c r="B20" s="172" t="s">
        <v>57</v>
      </c>
      <c r="C20" s="171"/>
      <c r="D20" s="171"/>
      <c r="E20" s="176">
        <v>2016</v>
      </c>
      <c r="F20" s="176">
        <f>E20+1</f>
        <v>2017</v>
      </c>
      <c r="G20" s="176">
        <f t="shared" ref="G20:S20" si="0">F20+1</f>
        <v>2018</v>
      </c>
      <c r="H20" s="176">
        <f t="shared" si="0"/>
        <v>2019</v>
      </c>
      <c r="I20" s="176">
        <f t="shared" si="0"/>
        <v>2020</v>
      </c>
      <c r="J20" s="176">
        <f t="shared" si="0"/>
        <v>2021</v>
      </c>
      <c r="K20" s="176">
        <f t="shared" si="0"/>
        <v>2022</v>
      </c>
      <c r="L20" s="176">
        <f t="shared" si="0"/>
        <v>2023</v>
      </c>
      <c r="M20" s="176">
        <f t="shared" si="0"/>
        <v>2024</v>
      </c>
      <c r="N20" s="176">
        <f t="shared" si="0"/>
        <v>2025</v>
      </c>
      <c r="O20" s="176">
        <f t="shared" si="0"/>
        <v>2026</v>
      </c>
      <c r="P20" s="176">
        <f t="shared" si="0"/>
        <v>2027</v>
      </c>
      <c r="Q20" s="176">
        <f t="shared" si="0"/>
        <v>2028</v>
      </c>
      <c r="R20" s="176">
        <f t="shared" si="0"/>
        <v>2029</v>
      </c>
      <c r="S20" s="176">
        <f t="shared" si="0"/>
        <v>2030</v>
      </c>
    </row>
    <row r="21" spans="1:20" x14ac:dyDescent="0.35">
      <c r="B21" s="8" t="s">
        <v>386</v>
      </c>
      <c r="E21" s="179">
        <f>HistoricalFS!C5</f>
        <v>41546.17</v>
      </c>
      <c r="F21" s="179">
        <f>HistoricalFS!D5</f>
        <v>55604</v>
      </c>
      <c r="G21" s="179">
        <f>HistoricalFS!E5</f>
        <v>71933</v>
      </c>
      <c r="H21" s="179">
        <f>HistoricalFS!F5</f>
        <v>84757</v>
      </c>
      <c r="I21" s="179">
        <f>HistoricalFS!G5</f>
        <v>73326</v>
      </c>
      <c r="J21" s="179">
        <f>HistoricalFS!H5</f>
        <v>79839</v>
      </c>
      <c r="K21" s="179">
        <f>HistoricalFS!I5</f>
        <v>146371</v>
      </c>
      <c r="L21" s="179">
        <f>HistoricalFS!J5</f>
        <v>165960</v>
      </c>
      <c r="M21" s="179">
        <f>HistoricalFS!K5</f>
        <v>175006</v>
      </c>
      <c r="N21" s="179">
        <f>HistoricalFS!L5</f>
        <v>168824</v>
      </c>
    </row>
    <row r="22" spans="1:20" x14ac:dyDescent="0.35">
      <c r="B22" s="177" t="s">
        <v>396</v>
      </c>
      <c r="F22" s="178">
        <f>F21/E21-1</f>
        <v>0.33836644870032551</v>
      </c>
      <c r="G22" s="178">
        <f t="shared" ref="G22:N22" si="1">G21/F21-1</f>
        <v>0.29366592331486951</v>
      </c>
      <c r="H22" s="178">
        <f t="shared" si="1"/>
        <v>0.17827700777112043</v>
      </c>
      <c r="I22" s="178">
        <f t="shared" si="1"/>
        <v>-0.13486791651427021</v>
      </c>
      <c r="J22" s="178">
        <f t="shared" si="1"/>
        <v>8.8822518615497836E-2</v>
      </c>
      <c r="K22" s="178">
        <f t="shared" si="1"/>
        <v>0.83332707072984391</v>
      </c>
      <c r="L22" s="178">
        <f t="shared" si="1"/>
        <v>0.13383115507853338</v>
      </c>
      <c r="M22" s="178">
        <f t="shared" si="1"/>
        <v>5.4507110147023363E-2</v>
      </c>
      <c r="N22" s="178">
        <f t="shared" si="1"/>
        <v>-3.5324503159891663E-2</v>
      </c>
    </row>
    <row r="24" spans="1:20" x14ac:dyDescent="0.35">
      <c r="B24" s="8" t="s">
        <v>183</v>
      </c>
      <c r="E24" s="179">
        <f>HistoricalFS!C25+HistoricalFS!C19</f>
        <v>3099.7499999999941</v>
      </c>
      <c r="F24" s="179">
        <f>HistoricalFS!D25+HistoricalFS!D19</f>
        <v>8878</v>
      </c>
      <c r="G24" s="179">
        <f>HistoricalFS!E25+HistoricalFS!E19</f>
        <v>11529</v>
      </c>
      <c r="H24" s="179">
        <f>HistoricalFS!F25+HistoricalFS!F19</f>
        <v>14889</v>
      </c>
      <c r="I24" s="179">
        <f>HistoricalFS!G25+HistoricalFS!G19</f>
        <v>7567</v>
      </c>
      <c r="J24" s="179">
        <f>HistoricalFS!H25+HistoricalFS!H19</f>
        <v>15499</v>
      </c>
      <c r="K24" s="179">
        <f>HistoricalFS!I25+HistoricalFS!I19</f>
        <v>33113</v>
      </c>
      <c r="L24" s="179">
        <f>HistoricalFS!J25+HistoricalFS!J19</f>
        <v>10996</v>
      </c>
      <c r="M24" s="179">
        <f>HistoricalFS!K25+HistoricalFS!K19</f>
        <v>19985</v>
      </c>
      <c r="N24" s="179">
        <f>HistoricalFS!L25+HistoricalFS!L19</f>
        <v>13284</v>
      </c>
    </row>
    <row r="25" spans="1:20" x14ac:dyDescent="0.35">
      <c r="B25" s="177" t="s">
        <v>395</v>
      </c>
      <c r="E25" s="178">
        <f>E24/E$21</f>
        <v>7.4609765472966438E-2</v>
      </c>
      <c r="F25" s="178">
        <f t="shared" ref="F25:N25" si="2">F24/F$21</f>
        <v>0.15966477231853823</v>
      </c>
      <c r="G25" s="178">
        <f t="shared" si="2"/>
        <v>0.16027414399510656</v>
      </c>
      <c r="H25" s="178">
        <f t="shared" si="2"/>
        <v>0.17566690656818906</v>
      </c>
      <c r="I25" s="178">
        <f t="shared" si="2"/>
        <v>0.1031966833046941</v>
      </c>
      <c r="J25" s="178">
        <f t="shared" si="2"/>
        <v>0.19412818296822354</v>
      </c>
      <c r="K25" s="178">
        <f t="shared" si="2"/>
        <v>0.22622650661674784</v>
      </c>
      <c r="L25" s="178">
        <f t="shared" si="2"/>
        <v>6.6256929380573634E-2</v>
      </c>
      <c r="M25" s="178">
        <f t="shared" si="2"/>
        <v>0.11419608470566724</v>
      </c>
      <c r="N25" s="178">
        <f t="shared" si="2"/>
        <v>7.8685494953324178E-2</v>
      </c>
    </row>
    <row r="27" spans="1:20" x14ac:dyDescent="0.35">
      <c r="B27" s="8" t="s">
        <v>70</v>
      </c>
      <c r="E27" s="179">
        <f>HistoricalFS!C25</f>
        <v>-501.43000000000575</v>
      </c>
      <c r="F27" s="179">
        <f>HistoricalFS!D25</f>
        <v>5110</v>
      </c>
      <c r="G27" s="179">
        <f>HistoricalFS!E25</f>
        <v>7828</v>
      </c>
      <c r="H27" s="179">
        <f>HistoricalFS!F25</f>
        <v>10972</v>
      </c>
      <c r="I27" s="179">
        <f>HistoricalFS!G25</f>
        <v>3302</v>
      </c>
      <c r="J27" s="179">
        <f>HistoricalFS!H25</f>
        <v>11542</v>
      </c>
      <c r="K27" s="179">
        <f>HistoricalFS!I25</f>
        <v>28145</v>
      </c>
      <c r="L27" s="179">
        <f>HistoricalFS!J25</f>
        <v>4094</v>
      </c>
      <c r="M27" s="179">
        <f>HistoricalFS!K25</f>
        <v>11880</v>
      </c>
      <c r="N27" s="179">
        <f>HistoricalFS!L25</f>
        <v>4872</v>
      </c>
    </row>
    <row r="28" spans="1:20" x14ac:dyDescent="0.35">
      <c r="B28" s="177" t="s">
        <v>395</v>
      </c>
      <c r="E28" s="178">
        <f>E27/E$21</f>
        <v>-1.2069223228037766E-2</v>
      </c>
      <c r="F28" s="178">
        <f t="shared" ref="F28:N28" si="3">F27/F$21</f>
        <v>9.1899863319185676E-2</v>
      </c>
      <c r="G28" s="178">
        <f t="shared" si="3"/>
        <v>0.10882348852404321</v>
      </c>
      <c r="H28" s="178">
        <f t="shared" si="3"/>
        <v>0.1294524346071711</v>
      </c>
      <c r="I28" s="178">
        <f t="shared" si="3"/>
        <v>4.5031775904863215E-2</v>
      </c>
      <c r="J28" s="178">
        <f t="shared" si="3"/>
        <v>0.14456593895214118</v>
      </c>
      <c r="K28" s="178">
        <f t="shared" si="3"/>
        <v>0.19228535707209762</v>
      </c>
      <c r="L28" s="178">
        <f t="shared" si="3"/>
        <v>2.4668594842130635E-2</v>
      </c>
      <c r="M28" s="178">
        <f t="shared" si="3"/>
        <v>6.7883386855307815E-2</v>
      </c>
      <c r="N28" s="178">
        <f t="shared" si="3"/>
        <v>2.8858456143676256E-2</v>
      </c>
    </row>
    <row r="30" spans="1:20" x14ac:dyDescent="0.35">
      <c r="B30" s="8" t="s">
        <v>72</v>
      </c>
      <c r="E30" s="179">
        <f>HistoricalFS!C28</f>
        <v>-1966.21</v>
      </c>
      <c r="F30" s="179">
        <f>HistoricalFS!D28</f>
        <v>1674</v>
      </c>
      <c r="G30" s="179">
        <f>HistoricalFS!E28</f>
        <v>1538</v>
      </c>
      <c r="H30" s="179">
        <f>HistoricalFS!F28</f>
        <v>3644</v>
      </c>
      <c r="I30" s="179">
        <f>HistoricalFS!G28</f>
        <v>-906</v>
      </c>
      <c r="J30" s="179">
        <f>HistoricalFS!H28</f>
        <v>4142</v>
      </c>
      <c r="K30" s="179">
        <f>HistoricalFS!I28</f>
        <v>8807</v>
      </c>
      <c r="L30" s="179">
        <f>HistoricalFS!J28</f>
        <v>1516</v>
      </c>
      <c r="M30" s="179">
        <f>HistoricalFS!K28</f>
        <v>4407</v>
      </c>
      <c r="N30" s="179">
        <f>HistoricalFS!L28</f>
        <v>1586</v>
      </c>
    </row>
    <row r="31" spans="1:20" x14ac:dyDescent="0.35">
      <c r="B31" s="177" t="s">
        <v>213</v>
      </c>
      <c r="E31" s="178">
        <f>E30/E27</f>
        <v>3.921205352691258</v>
      </c>
      <c r="F31" s="178">
        <f t="shared" ref="F31:N31" si="4">F30/F27</f>
        <v>0.32759295499021529</v>
      </c>
      <c r="G31" s="178">
        <f t="shared" si="4"/>
        <v>0.19647419519672968</v>
      </c>
      <c r="H31" s="178">
        <f t="shared" si="4"/>
        <v>0.33211811884797665</v>
      </c>
      <c r="I31" s="178">
        <f t="shared" si="4"/>
        <v>-0.27437916414294367</v>
      </c>
      <c r="J31" s="178">
        <f t="shared" si="4"/>
        <v>0.35886328192687578</v>
      </c>
      <c r="K31" s="178">
        <f t="shared" si="4"/>
        <v>0.31291526025937111</v>
      </c>
      <c r="L31" s="178">
        <f t="shared" si="4"/>
        <v>0.37029799706888128</v>
      </c>
      <c r="M31" s="178">
        <f t="shared" si="4"/>
        <v>0.37095959595959593</v>
      </c>
      <c r="N31" s="178">
        <f t="shared" si="4"/>
        <v>0.32553366174055831</v>
      </c>
    </row>
    <row r="33" spans="1:19" x14ac:dyDescent="0.35">
      <c r="A33" s="8" t="s">
        <v>383</v>
      </c>
      <c r="B33" s="172" t="s">
        <v>397</v>
      </c>
      <c r="C33" s="171"/>
      <c r="D33" s="171"/>
      <c r="E33" s="176">
        <v>2016</v>
      </c>
      <c r="F33" s="176">
        <f>E33+1</f>
        <v>2017</v>
      </c>
      <c r="G33" s="176">
        <f t="shared" ref="G33:S33" si="5">F33+1</f>
        <v>2018</v>
      </c>
      <c r="H33" s="176">
        <f t="shared" si="5"/>
        <v>2019</v>
      </c>
      <c r="I33" s="176">
        <f t="shared" si="5"/>
        <v>2020</v>
      </c>
      <c r="J33" s="176">
        <f t="shared" si="5"/>
        <v>2021</v>
      </c>
      <c r="K33" s="176">
        <f t="shared" si="5"/>
        <v>2022</v>
      </c>
      <c r="L33" s="176">
        <f t="shared" si="5"/>
        <v>2023</v>
      </c>
      <c r="M33" s="176">
        <f t="shared" si="5"/>
        <v>2024</v>
      </c>
      <c r="N33" s="176">
        <f t="shared" si="5"/>
        <v>2025</v>
      </c>
      <c r="O33" s="176">
        <f t="shared" si="5"/>
        <v>2026</v>
      </c>
      <c r="P33" s="176">
        <f t="shared" si="5"/>
        <v>2027</v>
      </c>
      <c r="Q33" s="176">
        <f t="shared" si="5"/>
        <v>2028</v>
      </c>
      <c r="R33" s="176">
        <f t="shared" si="5"/>
        <v>2029</v>
      </c>
      <c r="S33" s="176">
        <f t="shared" si="5"/>
        <v>2030</v>
      </c>
    </row>
    <row r="34" spans="1:19" x14ac:dyDescent="0.35">
      <c r="B34" s="8" t="s">
        <v>398</v>
      </c>
      <c r="E34" s="179">
        <f>HistoricalFS!C22</f>
        <v>3322.56</v>
      </c>
      <c r="F34" s="179">
        <f>HistoricalFS!D22</f>
        <v>3430</v>
      </c>
      <c r="G34" s="179">
        <f>HistoricalFS!E22</f>
        <v>3387</v>
      </c>
      <c r="H34" s="179">
        <f>HistoricalFS!F22</f>
        <v>4041</v>
      </c>
      <c r="I34" s="179">
        <f>HistoricalFS!G22</f>
        <v>4246</v>
      </c>
      <c r="J34" s="179">
        <f>HistoricalFS!H22</f>
        <v>4679</v>
      </c>
      <c r="K34" s="179">
        <f>HistoricalFS!I22</f>
        <v>6001</v>
      </c>
      <c r="L34" s="179">
        <f>HistoricalFS!J22</f>
        <v>7474</v>
      </c>
      <c r="M34" s="179">
        <f>HistoricalFS!K22</f>
        <v>8172</v>
      </c>
      <c r="N34" s="179">
        <f>HistoricalFS!L22</f>
        <v>9309</v>
      </c>
    </row>
    <row r="35" spans="1:19" x14ac:dyDescent="0.35">
      <c r="B35" s="177" t="s">
        <v>395</v>
      </c>
      <c r="E35" s="178">
        <f>E34/E$21</f>
        <v>7.9972714693075195E-2</v>
      </c>
      <c r="F35" s="178">
        <f t="shared" ref="F35:N35" si="6">F34/F$21</f>
        <v>6.1686209625206823E-2</v>
      </c>
      <c r="G35" s="178">
        <f t="shared" si="6"/>
        <v>4.7085482323829121E-2</v>
      </c>
      <c r="H35" s="178">
        <f t="shared" si="6"/>
        <v>4.7677477966421654E-2</v>
      </c>
      <c r="I35" s="178">
        <f t="shared" si="6"/>
        <v>5.7905790579057904E-2</v>
      </c>
      <c r="J35" s="178">
        <f t="shared" si="6"/>
        <v>5.8605443454953096E-2</v>
      </c>
      <c r="K35" s="178">
        <f t="shared" si="6"/>
        <v>4.0998558457617969E-2</v>
      </c>
      <c r="L35" s="178">
        <f t="shared" si="6"/>
        <v>4.5034948180284404E-2</v>
      </c>
      <c r="M35" s="178">
        <f t="shared" si="6"/>
        <v>4.6695541867135981E-2</v>
      </c>
      <c r="N35" s="178">
        <f t="shared" si="6"/>
        <v>5.5140264417381415E-2</v>
      </c>
    </row>
    <row r="37" spans="1:19" x14ac:dyDescent="0.35">
      <c r="B37" s="8" t="s">
        <v>399</v>
      </c>
      <c r="E37" s="179">
        <f>-(HistoricalFS!C81+HistoricalFS!C82)</f>
        <v>5162</v>
      </c>
      <c r="F37" s="179">
        <f>-(HistoricalFS!D81+HistoricalFS!D82)</f>
        <v>4390</v>
      </c>
      <c r="G37" s="179">
        <f>-(HistoricalFS!E81+HistoricalFS!E82)</f>
        <v>4676</v>
      </c>
      <c r="H37" s="179">
        <f>-(HistoricalFS!F81+HistoricalFS!F82)</f>
        <v>10162</v>
      </c>
      <c r="I37" s="179">
        <f>-(HistoricalFS!G81+HistoricalFS!G82)</f>
        <v>12767</v>
      </c>
      <c r="J37" s="179">
        <f>-(HistoricalFS!H81+HistoricalFS!H82)</f>
        <v>9207</v>
      </c>
      <c r="K37" s="179">
        <f>-(HistoricalFS!I81+HistoricalFS!I82)</f>
        <v>10048</v>
      </c>
      <c r="L37" s="179">
        <f>-(HistoricalFS!J81+HistoricalFS!J82)</f>
        <v>14749</v>
      </c>
      <c r="M37" s="179">
        <f>-(HistoricalFS!K81+HistoricalFS!K82)</f>
        <v>15547</v>
      </c>
      <c r="N37" s="179">
        <f>-(HistoricalFS!L81+HistoricalFS!L82)</f>
        <v>12635</v>
      </c>
    </row>
    <row r="38" spans="1:19" x14ac:dyDescent="0.35">
      <c r="B38" s="177" t="s">
        <v>395</v>
      </c>
      <c r="E38" s="178">
        <f>E37/E$21</f>
        <v>0.12424731329025035</v>
      </c>
      <c r="F38" s="178">
        <f t="shared" ref="F38:N38" si="7">F37/F$21</f>
        <v>7.8951154593194739E-2</v>
      </c>
      <c r="G38" s="178">
        <f t="shared" si="7"/>
        <v>6.500493514798493E-2</v>
      </c>
      <c r="H38" s="178">
        <f t="shared" si="7"/>
        <v>0.11989570182993735</v>
      </c>
      <c r="I38" s="178">
        <f t="shared" si="7"/>
        <v>0.17411286583203775</v>
      </c>
      <c r="J38" s="178">
        <f t="shared" si="7"/>
        <v>0.11531958065607034</v>
      </c>
      <c r="K38" s="178">
        <f t="shared" si="7"/>
        <v>6.8647477984026886E-2</v>
      </c>
      <c r="L38" s="178">
        <f t="shared" si="7"/>
        <v>8.8870812243914202E-2</v>
      </c>
      <c r="M38" s="178">
        <f t="shared" si="7"/>
        <v>8.8836954161571599E-2</v>
      </c>
      <c r="N38" s="178">
        <f t="shared" si="7"/>
        <v>7.4841254797896037E-2</v>
      </c>
    </row>
    <row r="40" spans="1:19" x14ac:dyDescent="0.35">
      <c r="B40" s="8" t="s">
        <v>400</v>
      </c>
      <c r="E40" s="179">
        <f>(HistoricalFS!C76)</f>
        <v>491</v>
      </c>
      <c r="F40" s="179">
        <f>(HistoricalFS!D76)</f>
        <v>-3869</v>
      </c>
      <c r="G40" s="179">
        <f>(HistoricalFS!E76)</f>
        <v>-1101</v>
      </c>
      <c r="H40" s="179">
        <f>(HistoricalFS!F76)</f>
        <v>-1581</v>
      </c>
      <c r="I40" s="179">
        <f>(HistoricalFS!G76)</f>
        <v>1639</v>
      </c>
      <c r="J40" s="179">
        <f>(HistoricalFS!H76)</f>
        <v>1264</v>
      </c>
      <c r="K40" s="179">
        <f>(HistoricalFS!I76)</f>
        <v>-7264</v>
      </c>
      <c r="L40" s="179">
        <f>(HistoricalFS!J76)</f>
        <v>3105</v>
      </c>
      <c r="M40" s="179">
        <f>(HistoricalFS!K76)</f>
        <v>-13615</v>
      </c>
      <c r="N40" s="179">
        <f>(HistoricalFS!L76)</f>
        <v>-681</v>
      </c>
    </row>
    <row r="41" spans="1:19" x14ac:dyDescent="0.35">
      <c r="B41" s="177" t="s">
        <v>395</v>
      </c>
      <c r="E41" s="178">
        <f>E40/E$21</f>
        <v>1.1818177223074955E-2</v>
      </c>
      <c r="F41" s="178">
        <f t="shared" ref="F41:N41" si="8">F40/F$21</f>
        <v>-6.9581325084526288E-2</v>
      </c>
      <c r="G41" s="178">
        <f t="shared" si="8"/>
        <v>-1.5305909665939138E-2</v>
      </c>
      <c r="H41" s="178">
        <f t="shared" si="8"/>
        <v>-1.8653326568896966E-2</v>
      </c>
      <c r="I41" s="178">
        <f t="shared" si="8"/>
        <v>2.2352235223522351E-2</v>
      </c>
      <c r="J41" s="178">
        <f t="shared" si="8"/>
        <v>1.5831861621513295E-2</v>
      </c>
      <c r="K41" s="178">
        <f t="shared" si="8"/>
        <v>-4.9627316886541734E-2</v>
      </c>
      <c r="L41" s="178">
        <f t="shared" si="8"/>
        <v>1.8709327548806942E-2</v>
      </c>
      <c r="M41" s="178">
        <f t="shared" si="8"/>
        <v>-7.7797332662880136E-2</v>
      </c>
      <c r="N41" s="178">
        <f t="shared" si="8"/>
        <v>-4.0337866654030236E-3</v>
      </c>
    </row>
    <row r="42" spans="1:19" x14ac:dyDescent="0.35">
      <c r="B42" s="177" t="s">
        <v>401</v>
      </c>
      <c r="F42" s="178">
        <f>F40/(F21-E21)</f>
        <v>-0.27522028648802832</v>
      </c>
      <c r="G42" s="178">
        <f t="shared" ref="G42:N42" si="9">G40/(G21-F21)</f>
        <v>-6.7426051809663795E-2</v>
      </c>
      <c r="H42" s="178">
        <f t="shared" si="9"/>
        <v>-0.12328446662507798</v>
      </c>
      <c r="I42" s="178">
        <f t="shared" si="9"/>
        <v>-0.14338203131834484</v>
      </c>
      <c r="J42" s="178">
        <f t="shared" si="9"/>
        <v>0.19407339167818211</v>
      </c>
      <c r="K42" s="178">
        <f t="shared" si="9"/>
        <v>-0.10918054470029459</v>
      </c>
      <c r="L42" s="178">
        <f t="shared" si="9"/>
        <v>0.15850732553984379</v>
      </c>
      <c r="M42" s="178">
        <f t="shared" si="9"/>
        <v>-1.5050851204952465</v>
      </c>
      <c r="N42" s="178">
        <f t="shared" si="9"/>
        <v>0.11015852474927208</v>
      </c>
    </row>
    <row r="44" spans="1:19" x14ac:dyDescent="0.35">
      <c r="A44" s="8" t="s">
        <v>383</v>
      </c>
      <c r="B44" s="172" t="s">
        <v>402</v>
      </c>
      <c r="C44" s="171"/>
      <c r="D44" s="171"/>
      <c r="E44" s="176">
        <v>2016</v>
      </c>
      <c r="F44" s="176">
        <f>E44+1</f>
        <v>2017</v>
      </c>
      <c r="G44" s="176">
        <f t="shared" ref="G44:S44" si="10">F44+1</f>
        <v>2018</v>
      </c>
      <c r="H44" s="176">
        <f t="shared" si="10"/>
        <v>2019</v>
      </c>
      <c r="I44" s="176">
        <f t="shared" si="10"/>
        <v>2020</v>
      </c>
      <c r="J44" s="176">
        <f t="shared" si="10"/>
        <v>2021</v>
      </c>
      <c r="K44" s="176">
        <f t="shared" si="10"/>
        <v>2022</v>
      </c>
      <c r="L44" s="176">
        <f t="shared" si="10"/>
        <v>2023</v>
      </c>
      <c r="M44" s="176">
        <f t="shared" si="10"/>
        <v>2024</v>
      </c>
      <c r="N44" s="176">
        <f t="shared" si="10"/>
        <v>2025</v>
      </c>
      <c r="O44" s="176">
        <f t="shared" si="10"/>
        <v>2026</v>
      </c>
      <c r="P44" s="176">
        <f t="shared" si="10"/>
        <v>2027</v>
      </c>
      <c r="Q44" s="176">
        <f t="shared" si="10"/>
        <v>2028</v>
      </c>
      <c r="R44" s="176">
        <f t="shared" si="10"/>
        <v>2029</v>
      </c>
      <c r="S44" s="176">
        <f t="shared" si="10"/>
        <v>2030</v>
      </c>
    </row>
    <row r="45" spans="1:19" x14ac:dyDescent="0.35">
      <c r="B45" s="8" t="s">
        <v>386</v>
      </c>
      <c r="E45" s="180">
        <f>E21</f>
        <v>41546.17</v>
      </c>
      <c r="F45" s="180">
        <f t="shared" ref="F45:N46" si="11">F21</f>
        <v>55604</v>
      </c>
      <c r="G45" s="180">
        <f t="shared" si="11"/>
        <v>71933</v>
      </c>
      <c r="H45" s="180">
        <f t="shared" si="11"/>
        <v>84757</v>
      </c>
      <c r="I45" s="180">
        <f t="shared" si="11"/>
        <v>73326</v>
      </c>
      <c r="J45" s="180">
        <f t="shared" si="11"/>
        <v>79839</v>
      </c>
      <c r="K45" s="180">
        <f t="shared" si="11"/>
        <v>146371</v>
      </c>
      <c r="L45" s="180">
        <f t="shared" si="11"/>
        <v>165960</v>
      </c>
      <c r="M45" s="180">
        <f t="shared" si="11"/>
        <v>175006</v>
      </c>
      <c r="N45" s="180">
        <f t="shared" si="11"/>
        <v>168824</v>
      </c>
      <c r="O45" s="58">
        <f ca="1">N45*(1+O46)</f>
        <v>198292.48428496759</v>
      </c>
      <c r="P45" s="58">
        <f t="shared" ref="P45:S45" ca="1" si="12">O45*(1+P46)</f>
        <v>231534.47603884686</v>
      </c>
      <c r="Q45" s="58">
        <f t="shared" ca="1" si="12"/>
        <v>268749.22227506439</v>
      </c>
      <c r="R45" s="58">
        <f t="shared" ca="1" si="12"/>
        <v>310088.39007228933</v>
      </c>
      <c r="S45" s="58">
        <f t="shared" ca="1" si="12"/>
        <v>353500.76468240988</v>
      </c>
    </row>
    <row r="46" spans="1:19" x14ac:dyDescent="0.35">
      <c r="B46" s="177" t="s">
        <v>403</v>
      </c>
      <c r="E46" s="181">
        <f>E22</f>
        <v>0</v>
      </c>
      <c r="F46" s="181">
        <f t="shared" si="11"/>
        <v>0.33836644870032551</v>
      </c>
      <c r="G46" s="181">
        <f t="shared" si="11"/>
        <v>0.29366592331486951</v>
      </c>
      <c r="H46" s="181">
        <f t="shared" si="11"/>
        <v>0.17827700777112043</v>
      </c>
      <c r="I46" s="181">
        <f t="shared" si="11"/>
        <v>-0.13486791651427021</v>
      </c>
      <c r="J46" s="181">
        <f t="shared" si="11"/>
        <v>8.8822518615497836E-2</v>
      </c>
      <c r="K46" s="181">
        <f t="shared" si="11"/>
        <v>0.83332707072984391</v>
      </c>
      <c r="L46" s="181">
        <f t="shared" si="11"/>
        <v>0.13383115507853338</v>
      </c>
      <c r="M46" s="181">
        <f t="shared" si="11"/>
        <v>5.4507110147023363E-2</v>
      </c>
      <c r="N46" s="181">
        <f t="shared" si="11"/>
        <v>-3.5324503159891663E-2</v>
      </c>
      <c r="O46" s="178">
        <f ca="1">OFFSET(O46,$E$11,0)</f>
        <v>0.17455151095204244</v>
      </c>
      <c r="P46" s="178">
        <f t="shared" ref="P46:S46" ca="1" si="13">OFFSET(P46,$E$11,0)</f>
        <v>0.16764120876163396</v>
      </c>
      <c r="Q46" s="178">
        <f t="shared" ca="1" si="13"/>
        <v>0.16073090657122549</v>
      </c>
      <c r="R46" s="178">
        <f t="shared" ca="1" si="13"/>
        <v>0.15382060438081702</v>
      </c>
      <c r="S46" s="178">
        <f t="shared" ca="1" si="13"/>
        <v>0.14000000000000001</v>
      </c>
    </row>
    <row r="47" spans="1:19" x14ac:dyDescent="0.35">
      <c r="B47" s="177" t="s">
        <v>404</v>
      </c>
      <c r="O47" s="184">
        <f>J11</f>
        <v>0.11455151095204244</v>
      </c>
      <c r="P47" s="185">
        <f>O47+(($S47-$O47)/5)</f>
        <v>0.10764120876163395</v>
      </c>
      <c r="Q47" s="185">
        <f t="shared" ref="Q47:R47" si="14">P47+((T47-P47)/5)</f>
        <v>8.6112967009307165E-2</v>
      </c>
      <c r="R47" s="185">
        <f t="shared" si="14"/>
        <v>6.8890373607445737E-2</v>
      </c>
      <c r="S47" s="184">
        <f>J12</f>
        <v>0.08</v>
      </c>
    </row>
    <row r="48" spans="1:19" x14ac:dyDescent="0.35">
      <c r="B48" s="177" t="s">
        <v>405</v>
      </c>
      <c r="O48" s="184">
        <f>O11</f>
        <v>0.14455151095204244</v>
      </c>
      <c r="P48" s="185">
        <f>O48+(($S48-$O48)/5)</f>
        <v>0.13764120876163394</v>
      </c>
      <c r="Q48" s="185">
        <f t="shared" ref="Q48:R48" si="15">P48+(($S48-$O48)/5)</f>
        <v>0.13073090657122544</v>
      </c>
      <c r="R48" s="185">
        <f t="shared" si="15"/>
        <v>0.12382060438081695</v>
      </c>
      <c r="S48" s="184">
        <f>O12</f>
        <v>0.11</v>
      </c>
    </row>
    <row r="49" spans="1:19" x14ac:dyDescent="0.35">
      <c r="B49" s="177" t="s">
        <v>406</v>
      </c>
      <c r="O49" s="184">
        <f>T11</f>
        <v>0.17455151095204244</v>
      </c>
      <c r="P49" s="185">
        <f>O49+(($S49-$O49)/5)</f>
        <v>0.16764120876163396</v>
      </c>
      <c r="Q49" s="185">
        <f t="shared" ref="Q49:R49" si="16">P49+(($S49-$O49)/5)</f>
        <v>0.16073090657122549</v>
      </c>
      <c r="R49" s="185">
        <f t="shared" si="16"/>
        <v>0.15382060438081702</v>
      </c>
      <c r="S49" s="184">
        <f>DCF!T12</f>
        <v>0.14000000000000001</v>
      </c>
    </row>
    <row r="51" spans="1:19" x14ac:dyDescent="0.35">
      <c r="B51" s="8" t="s">
        <v>183</v>
      </c>
      <c r="E51" s="102">
        <f>E24</f>
        <v>3099.7499999999941</v>
      </c>
      <c r="F51" s="102">
        <f t="shared" ref="F51:N52" si="17">F24</f>
        <v>8878</v>
      </c>
      <c r="G51" s="102">
        <f t="shared" si="17"/>
        <v>11529</v>
      </c>
      <c r="H51" s="102">
        <f t="shared" si="17"/>
        <v>14889</v>
      </c>
      <c r="I51" s="102">
        <f t="shared" si="17"/>
        <v>7567</v>
      </c>
      <c r="J51" s="102">
        <f t="shared" si="17"/>
        <v>15499</v>
      </c>
      <c r="K51" s="102">
        <f t="shared" si="17"/>
        <v>33113</v>
      </c>
      <c r="L51" s="102">
        <f t="shared" si="17"/>
        <v>10996</v>
      </c>
      <c r="M51" s="102">
        <f t="shared" si="17"/>
        <v>19985</v>
      </c>
      <c r="N51" s="102">
        <f t="shared" si="17"/>
        <v>13284</v>
      </c>
      <c r="O51" s="58">
        <f ca="1">O45*O52</f>
        <v>26827.098670534291</v>
      </c>
      <c r="P51" s="58">
        <f t="shared" ref="P51:S51" ca="1" si="18">P45*P52</f>
        <v>31324.425919230282</v>
      </c>
      <c r="Q51" s="58">
        <f t="shared" ca="1" si="18"/>
        <v>36359.229295051358</v>
      </c>
      <c r="R51" s="58">
        <f t="shared" ca="1" si="18"/>
        <v>41952.02792003686</v>
      </c>
      <c r="S51" s="58">
        <f t="shared" ca="1" si="18"/>
        <v>47825.31182884203</v>
      </c>
    </row>
    <row r="52" spans="1:19" x14ac:dyDescent="0.35">
      <c r="B52" s="177" t="s">
        <v>395</v>
      </c>
      <c r="E52" s="181">
        <f>E25</f>
        <v>7.4609765472966438E-2</v>
      </c>
      <c r="F52" s="181">
        <f t="shared" si="17"/>
        <v>0.15966477231853823</v>
      </c>
      <c r="G52" s="181">
        <f t="shared" si="17"/>
        <v>0.16027414399510656</v>
      </c>
      <c r="H52" s="181">
        <f t="shared" si="17"/>
        <v>0.17566690656818906</v>
      </c>
      <c r="I52" s="181">
        <f t="shared" si="17"/>
        <v>0.1031966833046941</v>
      </c>
      <c r="J52" s="181">
        <f t="shared" si="17"/>
        <v>0.19412818296822354</v>
      </c>
      <c r="K52" s="181">
        <f t="shared" si="17"/>
        <v>0.22622650661674784</v>
      </c>
      <c r="L52" s="181">
        <f t="shared" si="17"/>
        <v>6.6256929380573634E-2</v>
      </c>
      <c r="M52" s="181">
        <f t="shared" si="17"/>
        <v>0.11419608470566724</v>
      </c>
      <c r="N52" s="181">
        <f t="shared" si="17"/>
        <v>7.8685494953324178E-2</v>
      </c>
      <c r="O52" s="186">
        <f>AVERAGE(E52:N52)</f>
        <v>0.1352905470284031</v>
      </c>
      <c r="P52" s="187">
        <f>O52</f>
        <v>0.1352905470284031</v>
      </c>
      <c r="Q52" s="187">
        <f t="shared" ref="Q52:S52" si="19">P52</f>
        <v>0.1352905470284031</v>
      </c>
      <c r="R52" s="187">
        <f t="shared" si="19"/>
        <v>0.1352905470284031</v>
      </c>
      <c r="S52" s="187">
        <f t="shared" si="19"/>
        <v>0.1352905470284031</v>
      </c>
    </row>
    <row r="53" spans="1:19" x14ac:dyDescent="0.35">
      <c r="B53" s="177"/>
    </row>
    <row r="54" spans="1:19" x14ac:dyDescent="0.35">
      <c r="B54" s="8" t="s">
        <v>70</v>
      </c>
      <c r="E54" s="102">
        <f>E27</f>
        <v>-501.43000000000575</v>
      </c>
      <c r="F54" s="102">
        <f t="shared" ref="F54:N54" si="20">F27</f>
        <v>5110</v>
      </c>
      <c r="G54" s="102">
        <f t="shared" si="20"/>
        <v>7828</v>
      </c>
      <c r="H54" s="102">
        <f t="shared" si="20"/>
        <v>10972</v>
      </c>
      <c r="I54" s="102">
        <f t="shared" si="20"/>
        <v>3302</v>
      </c>
      <c r="J54" s="102">
        <f t="shared" si="20"/>
        <v>11542</v>
      </c>
      <c r="K54" s="102">
        <f t="shared" si="20"/>
        <v>28145</v>
      </c>
      <c r="L54" s="102">
        <f t="shared" si="20"/>
        <v>4094</v>
      </c>
      <c r="M54" s="102">
        <f t="shared" si="20"/>
        <v>11880</v>
      </c>
      <c r="N54" s="102">
        <f t="shared" si="20"/>
        <v>4872</v>
      </c>
      <c r="O54" s="58">
        <f ca="1">O45*O55</f>
        <v>16287.746106555218</v>
      </c>
      <c r="P54" s="58">
        <f t="shared" ref="P54:S54" ca="1" si="21">P45*P55</f>
        <v>19018.243551860731</v>
      </c>
      <c r="Q54" s="58">
        <f t="shared" ca="1" si="21"/>
        <v>22075.063079343669</v>
      </c>
      <c r="R54" s="58">
        <f t="shared" ca="1" si="21"/>
        <v>25470.662623952972</v>
      </c>
      <c r="S54" s="58">
        <f t="shared" ca="1" si="21"/>
        <v>29036.555391306392</v>
      </c>
    </row>
    <row r="55" spans="1:19" x14ac:dyDescent="0.35">
      <c r="B55" s="177" t="s">
        <v>395</v>
      </c>
      <c r="E55" s="181">
        <f>E28</f>
        <v>-1.2069223228037766E-2</v>
      </c>
      <c r="F55" s="181">
        <f t="shared" ref="F55:N55" si="22">F28</f>
        <v>9.1899863319185676E-2</v>
      </c>
      <c r="G55" s="181">
        <f t="shared" si="22"/>
        <v>0.10882348852404321</v>
      </c>
      <c r="H55" s="181">
        <f t="shared" si="22"/>
        <v>0.1294524346071711</v>
      </c>
      <c r="I55" s="181">
        <f t="shared" si="22"/>
        <v>4.5031775904863215E-2</v>
      </c>
      <c r="J55" s="181">
        <f t="shared" si="22"/>
        <v>0.14456593895214118</v>
      </c>
      <c r="K55" s="181">
        <f t="shared" si="22"/>
        <v>0.19228535707209762</v>
      </c>
      <c r="L55" s="181">
        <f t="shared" si="22"/>
        <v>2.4668594842130635E-2</v>
      </c>
      <c r="M55" s="181">
        <f t="shared" si="22"/>
        <v>6.7883386855307815E-2</v>
      </c>
      <c r="N55" s="181">
        <f t="shared" si="22"/>
        <v>2.8858456143676256E-2</v>
      </c>
      <c r="O55" s="186">
        <f>AVERAGE(E55:N55)</f>
        <v>8.2140007299257883E-2</v>
      </c>
      <c r="P55" s="187">
        <f>O55</f>
        <v>8.2140007299257883E-2</v>
      </c>
      <c r="Q55" s="187">
        <f t="shared" ref="Q55:S55" si="23">P55</f>
        <v>8.2140007299257883E-2</v>
      </c>
      <c r="R55" s="187">
        <f t="shared" si="23"/>
        <v>8.2140007299257883E-2</v>
      </c>
      <c r="S55" s="187">
        <f t="shared" si="23"/>
        <v>8.2140007299257883E-2</v>
      </c>
    </row>
    <row r="57" spans="1:19" x14ac:dyDescent="0.35">
      <c r="B57" s="8" t="s">
        <v>72</v>
      </c>
      <c r="E57" s="102">
        <f>E30</f>
        <v>-1966.21</v>
      </c>
      <c r="F57" s="102">
        <f t="shared" ref="F57:N58" si="24">F30</f>
        <v>1674</v>
      </c>
      <c r="G57" s="102">
        <f t="shared" si="24"/>
        <v>1538</v>
      </c>
      <c r="H57" s="102">
        <f t="shared" si="24"/>
        <v>3644</v>
      </c>
      <c r="I57" s="102">
        <f t="shared" si="24"/>
        <v>-906</v>
      </c>
      <c r="J57" s="102">
        <f t="shared" si="24"/>
        <v>4142</v>
      </c>
      <c r="K57" s="102">
        <f t="shared" si="24"/>
        <v>8807</v>
      </c>
      <c r="L57" s="102">
        <f t="shared" si="24"/>
        <v>1516</v>
      </c>
      <c r="M57" s="102">
        <f t="shared" si="24"/>
        <v>4407</v>
      </c>
      <c r="N57" s="102">
        <f t="shared" si="24"/>
        <v>1586</v>
      </c>
      <c r="O57" s="58">
        <f ca="1">O54*O58</f>
        <v>5302.2096315674416</v>
      </c>
      <c r="P57" s="58">
        <f t="shared" ref="P57:S57" ca="1" si="25">P54*P58</f>
        <v>6191.0784633109852</v>
      </c>
      <c r="Q57" s="58">
        <f t="shared" ca="1" si="25"/>
        <v>7186.176117372549</v>
      </c>
      <c r="R57" s="58">
        <f t="shared" ca="1" si="25"/>
        <v>8291.5580709337883</v>
      </c>
      <c r="S57" s="58">
        <f t="shared" ca="1" si="25"/>
        <v>9452.376200864519</v>
      </c>
    </row>
    <row r="58" spans="1:19" x14ac:dyDescent="0.35">
      <c r="B58" s="177" t="s">
        <v>213</v>
      </c>
      <c r="E58" s="181">
        <f>E31</f>
        <v>3.921205352691258</v>
      </c>
      <c r="F58" s="181">
        <f t="shared" si="24"/>
        <v>0.32759295499021529</v>
      </c>
      <c r="G58" s="181">
        <f t="shared" si="24"/>
        <v>0.19647419519672968</v>
      </c>
      <c r="H58" s="181">
        <f t="shared" si="24"/>
        <v>0.33211811884797665</v>
      </c>
      <c r="I58" s="181">
        <f t="shared" si="24"/>
        <v>-0.27437916414294367</v>
      </c>
      <c r="J58" s="181">
        <f t="shared" si="24"/>
        <v>0.35886328192687578</v>
      </c>
      <c r="K58" s="181">
        <f t="shared" si="24"/>
        <v>0.31291526025937111</v>
      </c>
      <c r="L58" s="181">
        <f t="shared" si="24"/>
        <v>0.37029799706888128</v>
      </c>
      <c r="M58" s="181">
        <f t="shared" si="24"/>
        <v>0.37095959595959593</v>
      </c>
      <c r="N58" s="181">
        <f t="shared" si="24"/>
        <v>0.32553366174055831</v>
      </c>
      <c r="O58" s="186">
        <f>N58</f>
        <v>0.32553366174055831</v>
      </c>
      <c r="P58" s="187">
        <f>O58</f>
        <v>0.32553366174055831</v>
      </c>
      <c r="Q58" s="187">
        <f t="shared" ref="Q58:S58" si="26">P58</f>
        <v>0.32553366174055831</v>
      </c>
      <c r="R58" s="187">
        <f t="shared" si="26"/>
        <v>0.32553366174055831</v>
      </c>
      <c r="S58" s="187">
        <f t="shared" si="26"/>
        <v>0.32553366174055831</v>
      </c>
    </row>
    <row r="60" spans="1:19" ht="15" thickBot="1" x14ac:dyDescent="0.4">
      <c r="A60" s="8" t="s">
        <v>205</v>
      </c>
      <c r="B60" s="60" t="s">
        <v>408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188">
        <f ca="1">O54-O57</f>
        <v>10985.536474987777</v>
      </c>
      <c r="P60" s="188">
        <f t="shared" ref="P60:S60" ca="1" si="27">P54-P57</f>
        <v>12827.165088549746</v>
      </c>
      <c r="Q60" s="188">
        <f t="shared" ca="1" si="27"/>
        <v>14888.886961971119</v>
      </c>
      <c r="R60" s="188">
        <f t="shared" ca="1" si="27"/>
        <v>17179.104553019184</v>
      </c>
      <c r="S60" s="188">
        <f t="shared" ca="1" si="27"/>
        <v>19584.179190441871</v>
      </c>
    </row>
    <row r="62" spans="1:19" x14ac:dyDescent="0.35">
      <c r="B62" s="8" t="s">
        <v>398</v>
      </c>
      <c r="E62" s="102">
        <f>E34</f>
        <v>3322.56</v>
      </c>
      <c r="F62" s="102">
        <f t="shared" ref="F62:N62" si="28">F34</f>
        <v>3430</v>
      </c>
      <c r="G62" s="102">
        <f t="shared" si="28"/>
        <v>3387</v>
      </c>
      <c r="H62" s="102">
        <f t="shared" si="28"/>
        <v>4041</v>
      </c>
      <c r="I62" s="102">
        <f t="shared" si="28"/>
        <v>4246</v>
      </c>
      <c r="J62" s="102">
        <f t="shared" si="28"/>
        <v>4679</v>
      </c>
      <c r="K62" s="102">
        <f t="shared" si="28"/>
        <v>6001</v>
      </c>
      <c r="L62" s="102">
        <f t="shared" si="28"/>
        <v>7474</v>
      </c>
      <c r="M62" s="102">
        <f t="shared" si="28"/>
        <v>8172</v>
      </c>
      <c r="N62" s="102">
        <f t="shared" si="28"/>
        <v>9309</v>
      </c>
      <c r="O62" s="58">
        <f ca="1">O45*O63</f>
        <v>10723.705766236781</v>
      </c>
      <c r="P62" s="58">
        <f t="shared" ref="P62:S62" ca="1" si="29">P45*P63</f>
        <v>12795.566323100416</v>
      </c>
      <c r="Q62" s="58">
        <f t="shared" ca="1" si="29"/>
        <v>15170.395307854407</v>
      </c>
      <c r="R62" s="58">
        <f t="shared" ca="1" si="29"/>
        <v>17871.044256648773</v>
      </c>
      <c r="S62" s="58">
        <f t="shared" ca="1" si="29"/>
        <v>21210.045880944592</v>
      </c>
    </row>
    <row r="63" spans="1:19" x14ac:dyDescent="0.35">
      <c r="B63" s="177" t="s">
        <v>395</v>
      </c>
      <c r="E63" s="181">
        <f t="shared" ref="E63:N63" si="30">E35</f>
        <v>7.9972714693075195E-2</v>
      </c>
      <c r="F63" s="181">
        <f t="shared" si="30"/>
        <v>6.1686209625206823E-2</v>
      </c>
      <c r="G63" s="181">
        <f t="shared" si="30"/>
        <v>4.7085482323829121E-2</v>
      </c>
      <c r="H63" s="181">
        <f t="shared" si="30"/>
        <v>4.7677477966421654E-2</v>
      </c>
      <c r="I63" s="181">
        <f t="shared" si="30"/>
        <v>5.7905790579057904E-2</v>
      </c>
      <c r="J63" s="181">
        <f t="shared" si="30"/>
        <v>5.8605443454953096E-2</v>
      </c>
      <c r="K63" s="181">
        <f t="shared" si="30"/>
        <v>4.0998558457617969E-2</v>
      </c>
      <c r="L63" s="181">
        <f t="shared" si="30"/>
        <v>4.5034948180284404E-2</v>
      </c>
      <c r="M63" s="181">
        <f t="shared" si="30"/>
        <v>4.6695541867135981E-2</v>
      </c>
      <c r="N63" s="181">
        <f t="shared" si="30"/>
        <v>5.5140264417381415E-2</v>
      </c>
      <c r="O63" s="186">
        <f>AVERAGE(E63:N63)</f>
        <v>5.4080243156496365E-2</v>
      </c>
      <c r="P63" s="178">
        <f>O63+(($S$63-$O$63)/5)</f>
        <v>5.526419452519709E-2</v>
      </c>
      <c r="Q63" s="178">
        <f t="shared" ref="Q63:R63" si="31">P63+(($S$63-$O$63)/5)</f>
        <v>5.6448145893897815E-2</v>
      </c>
      <c r="R63" s="178">
        <f t="shared" si="31"/>
        <v>5.763209726259854E-2</v>
      </c>
      <c r="S63" s="186">
        <f>O13</f>
        <v>0.06</v>
      </c>
    </row>
    <row r="64" spans="1:19" x14ac:dyDescent="0.35">
      <c r="E64" s="102"/>
      <c r="F64" s="102"/>
      <c r="G64" s="102"/>
      <c r="H64" s="102"/>
      <c r="I64" s="102"/>
      <c r="J64" s="102"/>
      <c r="K64" s="102"/>
      <c r="L64" s="102"/>
      <c r="M64" s="102"/>
      <c r="N64" s="102"/>
    </row>
    <row r="65" spans="1:19" x14ac:dyDescent="0.35">
      <c r="B65" s="8" t="s">
        <v>399</v>
      </c>
      <c r="E65" s="102">
        <f t="shared" ref="E65:N65" si="32">E37</f>
        <v>5162</v>
      </c>
      <c r="F65" s="102">
        <f t="shared" si="32"/>
        <v>4390</v>
      </c>
      <c r="G65" s="102">
        <f t="shared" si="32"/>
        <v>4676</v>
      </c>
      <c r="H65" s="102">
        <f t="shared" si="32"/>
        <v>10162</v>
      </c>
      <c r="I65" s="102">
        <f t="shared" si="32"/>
        <v>12767</v>
      </c>
      <c r="J65" s="102">
        <f t="shared" si="32"/>
        <v>9207</v>
      </c>
      <c r="K65" s="102">
        <f t="shared" si="32"/>
        <v>10048</v>
      </c>
      <c r="L65" s="102">
        <f t="shared" si="32"/>
        <v>14749</v>
      </c>
      <c r="M65" s="102">
        <f t="shared" si="32"/>
        <v>15547</v>
      </c>
      <c r="N65" s="102">
        <f t="shared" si="32"/>
        <v>12635</v>
      </c>
      <c r="O65" s="58">
        <f ca="1">O45*O66</f>
        <v>19804.026626604144</v>
      </c>
      <c r="P65" s="58">
        <f t="shared" ref="P65:S65" ca="1" si="33">P45*P66</f>
        <v>21740.680735452373</v>
      </c>
      <c r="Q65" s="58">
        <f t="shared" ca="1" si="33"/>
        <v>23629.421434466538</v>
      </c>
      <c r="R65" s="58">
        <f t="shared" ca="1" si="33"/>
        <v>25411.471315476898</v>
      </c>
      <c r="S65" s="58">
        <f t="shared" ca="1" si="33"/>
        <v>24745.053527768694</v>
      </c>
    </row>
    <row r="66" spans="1:19" x14ac:dyDescent="0.35">
      <c r="B66" s="177" t="s">
        <v>395</v>
      </c>
      <c r="E66" s="181">
        <f t="shared" ref="E66:N66" si="34">E38</f>
        <v>0.12424731329025035</v>
      </c>
      <c r="F66" s="181">
        <f t="shared" si="34"/>
        <v>7.8951154593194739E-2</v>
      </c>
      <c r="G66" s="181">
        <f t="shared" si="34"/>
        <v>6.500493514798493E-2</v>
      </c>
      <c r="H66" s="181">
        <f t="shared" si="34"/>
        <v>0.11989570182993735</v>
      </c>
      <c r="I66" s="181">
        <f t="shared" si="34"/>
        <v>0.17411286583203775</v>
      </c>
      <c r="J66" s="181">
        <f t="shared" si="34"/>
        <v>0.11531958065607034</v>
      </c>
      <c r="K66" s="181">
        <f t="shared" si="34"/>
        <v>6.8647477984026886E-2</v>
      </c>
      <c r="L66" s="181">
        <f t="shared" si="34"/>
        <v>8.8870812243914202E-2</v>
      </c>
      <c r="M66" s="181">
        <f t="shared" si="34"/>
        <v>8.8836954161571599E-2</v>
      </c>
      <c r="N66" s="181">
        <f t="shared" si="34"/>
        <v>7.4841254797896037E-2</v>
      </c>
      <c r="O66" s="186">
        <f>AVERAGE(E66:N66)</f>
        <v>9.9872805053688424E-2</v>
      </c>
      <c r="P66" s="178">
        <f>O66+(($S$66-$O$66)/5)</f>
        <v>9.3898244042950746E-2</v>
      </c>
      <c r="Q66" s="178">
        <f t="shared" ref="Q66:R66" si="35">P66+(($S$66-$O$66)/5)</f>
        <v>8.7923683032213068E-2</v>
      </c>
      <c r="R66" s="178">
        <f t="shared" si="35"/>
        <v>8.194912202147539E-2</v>
      </c>
      <c r="S66" s="186">
        <f>O14</f>
        <v>7.0000000000000007E-2</v>
      </c>
    </row>
    <row r="67" spans="1:19" x14ac:dyDescent="0.35">
      <c r="E67" s="102"/>
      <c r="F67" s="102"/>
      <c r="G67" s="102"/>
      <c r="H67" s="102"/>
      <c r="I67" s="102"/>
      <c r="J67" s="102"/>
      <c r="K67" s="102"/>
      <c r="L67" s="102"/>
      <c r="M67" s="102"/>
      <c r="N67" s="102"/>
    </row>
    <row r="68" spans="1:19" x14ac:dyDescent="0.35">
      <c r="B68" s="8" t="s">
        <v>400</v>
      </c>
      <c r="E68" s="102">
        <f t="shared" ref="E68:N68" si="36">E40</f>
        <v>491</v>
      </c>
      <c r="F68" s="102">
        <f t="shared" si="36"/>
        <v>-3869</v>
      </c>
      <c r="G68" s="102">
        <f t="shared" si="36"/>
        <v>-1101</v>
      </c>
      <c r="H68" s="102">
        <f t="shared" si="36"/>
        <v>-1581</v>
      </c>
      <c r="I68" s="102">
        <f t="shared" si="36"/>
        <v>1639</v>
      </c>
      <c r="J68" s="102">
        <f t="shared" si="36"/>
        <v>1264</v>
      </c>
      <c r="K68" s="102">
        <f t="shared" si="36"/>
        <v>-7264</v>
      </c>
      <c r="L68" s="102">
        <f t="shared" si="36"/>
        <v>3105</v>
      </c>
      <c r="M68" s="102">
        <f t="shared" si="36"/>
        <v>-13615</v>
      </c>
      <c r="N68" s="102">
        <f t="shared" si="36"/>
        <v>-681</v>
      </c>
      <c r="O68" s="58">
        <f ca="1">O45*O69</f>
        <v>-3297.3540841713393</v>
      </c>
      <c r="P68" s="58">
        <f t="shared" ref="P68:S68" ca="1" si="37">P45*P69</f>
        <v>-3850.126508556933</v>
      </c>
      <c r="Q68" s="58">
        <f t="shared" ca="1" si="37"/>
        <v>-4468.9608326911957</v>
      </c>
      <c r="R68" s="58">
        <f t="shared" ca="1" si="37"/>
        <v>-5156.3790889299544</v>
      </c>
      <c r="S68" s="58">
        <f t="shared" ca="1" si="37"/>
        <v>-5878.2721613801496</v>
      </c>
    </row>
    <row r="69" spans="1:19" x14ac:dyDescent="0.35">
      <c r="B69" s="177" t="s">
        <v>395</v>
      </c>
      <c r="E69" s="181">
        <f t="shared" ref="E69:N69" si="38">E41</f>
        <v>1.1818177223074955E-2</v>
      </c>
      <c r="F69" s="181">
        <f t="shared" si="38"/>
        <v>-6.9581325084526288E-2</v>
      </c>
      <c r="G69" s="181">
        <f t="shared" si="38"/>
        <v>-1.5305909665939138E-2</v>
      </c>
      <c r="H69" s="181">
        <f t="shared" si="38"/>
        <v>-1.8653326568896966E-2</v>
      </c>
      <c r="I69" s="181">
        <f t="shared" si="38"/>
        <v>2.2352235223522351E-2</v>
      </c>
      <c r="J69" s="181">
        <f t="shared" si="38"/>
        <v>1.5831861621513295E-2</v>
      </c>
      <c r="K69" s="181">
        <f t="shared" si="38"/>
        <v>-4.9627316886541734E-2</v>
      </c>
      <c r="L69" s="181">
        <f t="shared" si="38"/>
        <v>1.8709327548806942E-2</v>
      </c>
      <c r="M69" s="181">
        <f t="shared" si="38"/>
        <v>-7.7797332662880136E-2</v>
      </c>
      <c r="N69" s="181">
        <f t="shared" si="38"/>
        <v>-4.0337866654030236E-3</v>
      </c>
      <c r="O69" s="186">
        <f>AVERAGE(E69:N69)</f>
        <v>-1.6628739591726973E-2</v>
      </c>
      <c r="P69" s="186">
        <f>O69</f>
        <v>-1.6628739591726973E-2</v>
      </c>
      <c r="Q69" s="186">
        <f t="shared" ref="Q69:S69" si="39">P69</f>
        <v>-1.6628739591726973E-2</v>
      </c>
      <c r="R69" s="186">
        <f t="shared" si="39"/>
        <v>-1.6628739591726973E-2</v>
      </c>
      <c r="S69" s="186">
        <f t="shared" si="39"/>
        <v>-1.6628739591726973E-2</v>
      </c>
    </row>
    <row r="70" spans="1:19" ht="15" thickBot="1" x14ac:dyDescent="0.4">
      <c r="B70" s="177"/>
      <c r="E70" s="181"/>
      <c r="F70" s="181"/>
      <c r="G70" s="181"/>
      <c r="H70" s="181"/>
      <c r="I70" s="181"/>
      <c r="J70" s="181"/>
      <c r="K70" s="181"/>
      <c r="L70" s="181"/>
      <c r="M70" s="181"/>
      <c r="N70" s="181"/>
    </row>
    <row r="71" spans="1:19" ht="15" thickTop="1" x14ac:dyDescent="0.35">
      <c r="A71" s="8" t="s">
        <v>411</v>
      </c>
      <c r="B71" s="195" t="s">
        <v>412</v>
      </c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7">
        <f ca="1">O62+O60-O65-O68</f>
        <v>5202.5696987917536</v>
      </c>
      <c r="P71" s="197">
        <f t="shared" ref="P71:S71" ca="1" si="40">P62+P60-P65-P68</f>
        <v>7732.1771847547216</v>
      </c>
      <c r="Q71" s="197">
        <f t="shared" ca="1" si="40"/>
        <v>10898.821668050183</v>
      </c>
      <c r="R71" s="197">
        <f t="shared" ca="1" si="40"/>
        <v>14795.05658312101</v>
      </c>
      <c r="S71" s="198">
        <f t="shared" ca="1" si="40"/>
        <v>21927.443704997917</v>
      </c>
    </row>
    <row r="72" spans="1:19" x14ac:dyDescent="0.35">
      <c r="B72" s="199" t="s">
        <v>413</v>
      </c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>
        <v>1</v>
      </c>
      <c r="P72" s="148">
        <f>O72+1</f>
        <v>2</v>
      </c>
      <c r="Q72" s="148">
        <f t="shared" ref="Q72:S72" si="41">P72+1</f>
        <v>3</v>
      </c>
      <c r="R72" s="148">
        <f t="shared" si="41"/>
        <v>4</v>
      </c>
      <c r="S72" s="200">
        <f t="shared" si="41"/>
        <v>5</v>
      </c>
    </row>
    <row r="73" spans="1:19" x14ac:dyDescent="0.35">
      <c r="B73" s="199" t="s">
        <v>414</v>
      </c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201">
        <f ca="1">O71/(1+wacc)^O72</f>
        <v>4676.9764018683545</v>
      </c>
      <c r="P73" s="201">
        <f ca="1">P71/(1+wacc)^P72</f>
        <v>6248.7959078277681</v>
      </c>
      <c r="Q73" s="201">
        <f ca="1">Q71/(1+wacc)^Q72</f>
        <v>7918.10690350199</v>
      </c>
      <c r="R73" s="201">
        <f ca="1">R71/(1+wacc)^R72</f>
        <v>9662.8606457796141</v>
      </c>
      <c r="S73" s="202">
        <f ca="1">S71/(1+wacc)^S72</f>
        <v>12874.321852039677</v>
      </c>
    </row>
    <row r="74" spans="1:19" x14ac:dyDescent="0.35">
      <c r="B74" s="199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200"/>
    </row>
    <row r="75" spans="1:19" x14ac:dyDescent="0.35">
      <c r="B75" s="199" t="s">
        <v>415</v>
      </c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202">
        <f ca="1">(S71*(1+tgr))/(wacc-tgr)</f>
        <v>257220.43824767388</v>
      </c>
    </row>
    <row r="76" spans="1:19" x14ac:dyDescent="0.35">
      <c r="B76" s="199" t="s">
        <v>416</v>
      </c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202">
        <f ca="1">S75/(1+wacc)^S72</f>
        <v>151022.56120116965</v>
      </c>
    </row>
    <row r="77" spans="1:19" x14ac:dyDescent="0.35">
      <c r="B77" s="199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200"/>
    </row>
    <row r="78" spans="1:19" x14ac:dyDescent="0.35">
      <c r="B78" s="199" t="s">
        <v>417</v>
      </c>
      <c r="C78" s="148"/>
      <c r="D78" s="148"/>
      <c r="E78" s="148"/>
      <c r="F78" s="148"/>
      <c r="G78" s="201">
        <f ca="1">SUM(O73:S73)+S76</f>
        <v>192403.62291218707</v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200"/>
    </row>
    <row r="79" spans="1:19" x14ac:dyDescent="0.35">
      <c r="B79" s="199" t="s">
        <v>418</v>
      </c>
      <c r="C79" s="148"/>
      <c r="D79" s="148"/>
      <c r="E79" s="148"/>
      <c r="F79" s="148"/>
      <c r="G79" s="201">
        <f>HistoricalFS!L60</f>
        <v>13285</v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200"/>
    </row>
    <row r="80" spans="1:19" x14ac:dyDescent="0.35">
      <c r="B80" s="199" t="s">
        <v>419</v>
      </c>
      <c r="C80" s="148"/>
      <c r="D80" s="148"/>
      <c r="E80" s="148"/>
      <c r="F80" s="148"/>
      <c r="G80" s="201">
        <f>HistoricalFS!L48</f>
        <v>98752</v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200"/>
    </row>
    <row r="81" spans="2:19" x14ac:dyDescent="0.35">
      <c r="B81" s="199" t="s">
        <v>420</v>
      </c>
      <c r="C81" s="148"/>
      <c r="D81" s="148"/>
      <c r="E81" s="148"/>
      <c r="F81" s="148"/>
      <c r="G81" s="201">
        <f ca="1">G78+G79-G80</f>
        <v>106936.62291218707</v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200"/>
    </row>
    <row r="82" spans="2:19" x14ac:dyDescent="0.35">
      <c r="B82" s="199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200"/>
    </row>
    <row r="83" spans="2:19" x14ac:dyDescent="0.35">
      <c r="B83" s="199" t="s">
        <v>421</v>
      </c>
      <c r="C83" s="148"/>
      <c r="D83" s="148"/>
      <c r="E83" s="148"/>
      <c r="F83" s="148"/>
      <c r="G83" s="201">
        <f>2.437*100</f>
        <v>243.7</v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200"/>
    </row>
    <row r="84" spans="2:19" x14ac:dyDescent="0.35">
      <c r="B84" s="199" t="s">
        <v>422</v>
      </c>
      <c r="C84" s="148"/>
      <c r="D84" s="148"/>
      <c r="E84" s="148"/>
      <c r="F84" s="148"/>
      <c r="G84" s="201">
        <f ca="1">G81/G83</f>
        <v>438.80436156006186</v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200"/>
    </row>
    <row r="85" spans="2:19" ht="15" thickBot="1" x14ac:dyDescent="0.4">
      <c r="B85" s="203"/>
      <c r="C85" s="204"/>
      <c r="D85" s="204"/>
      <c r="E85" s="204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  <c r="R85" s="204"/>
      <c r="S85" s="205"/>
    </row>
    <row r="86" spans="2:19" ht="15" thickTop="1" x14ac:dyDescent="0.3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40"/>
  <sheetViews>
    <sheetView tabSelected="1" workbookViewId="0">
      <selection activeCell="G35" sqref="G35"/>
    </sheetView>
  </sheetViews>
  <sheetFormatPr defaultRowHeight="14.5" x14ac:dyDescent="0.35"/>
  <cols>
    <col min="1" max="1" width="1.90625" style="91" customWidth="1"/>
    <col min="2" max="2" width="25.54296875" style="8" customWidth="1"/>
    <col min="3" max="4" width="10.6328125" style="8" customWidth="1"/>
    <col min="5" max="5" width="11.81640625" style="8" customWidth="1"/>
    <col min="6" max="6" width="10.6328125" style="8" customWidth="1"/>
    <col min="7" max="7" width="11.90625" style="8" customWidth="1"/>
    <col min="8" max="8" width="12.36328125" style="8" customWidth="1"/>
    <col min="9" max="9" width="13.36328125" style="8" customWidth="1"/>
    <col min="10" max="10" width="14.08984375" style="8" customWidth="1"/>
    <col min="11" max="16384" width="8.7265625" style="8"/>
  </cols>
  <sheetData>
    <row r="1" spans="2:10" ht="2" customHeight="1" x14ac:dyDescent="0.35"/>
    <row r="2" spans="2:10" ht="18.5" x14ac:dyDescent="0.45">
      <c r="B2" s="127" t="s">
        <v>242</v>
      </c>
      <c r="C2" s="17"/>
      <c r="D2" s="17"/>
      <c r="E2" s="17"/>
      <c r="F2" s="17"/>
      <c r="G2" s="17"/>
      <c r="H2" s="17"/>
      <c r="I2" s="17"/>
      <c r="J2" s="17"/>
    </row>
    <row r="3" spans="2:10" ht="5" customHeight="1" x14ac:dyDescent="0.35"/>
    <row r="4" spans="2:10" x14ac:dyDescent="0.35">
      <c r="B4" s="86" t="s">
        <v>241</v>
      </c>
    </row>
    <row r="5" spans="2:10" ht="5" customHeight="1" x14ac:dyDescent="0.35"/>
    <row r="6" spans="2:10" x14ac:dyDescent="0.35">
      <c r="B6" s="8" t="s">
        <v>240</v>
      </c>
    </row>
    <row r="7" spans="2:10" ht="16.5" x14ac:dyDescent="0.35">
      <c r="B7" s="126" t="s">
        <v>239</v>
      </c>
      <c r="C7" s="126" t="s">
        <v>238</v>
      </c>
      <c r="D7" s="126" t="s">
        <v>217</v>
      </c>
      <c r="E7" s="126" t="s">
        <v>237</v>
      </c>
      <c r="F7" s="126" t="s">
        <v>236</v>
      </c>
      <c r="G7" s="126" t="s">
        <v>424</v>
      </c>
      <c r="H7" s="126" t="s">
        <v>425</v>
      </c>
      <c r="I7" s="126" t="s">
        <v>426</v>
      </c>
      <c r="J7" s="126" t="s">
        <v>427</v>
      </c>
    </row>
    <row r="9" spans="2:10" x14ac:dyDescent="0.35">
      <c r="B9" s="125" t="s">
        <v>235</v>
      </c>
      <c r="C9" s="125" t="s">
        <v>230</v>
      </c>
      <c r="D9" s="124">
        <v>98752</v>
      </c>
      <c r="E9" s="124">
        <v>245902.62</v>
      </c>
      <c r="F9" s="123">
        <v>0.3</v>
      </c>
      <c r="G9" s="122">
        <f>D9/E9</f>
        <v>0.40158986512628453</v>
      </c>
      <c r="H9" s="122">
        <f>D9/(D9+E9)</f>
        <v>0.28652452127291955</v>
      </c>
      <c r="I9" s="121">
        <f>'peers Levered Beta - regression'!E5</f>
        <v>1.1292528880706336</v>
      </c>
      <c r="J9" s="120">
        <f>I9/(1+(1-F9)*(G9))</f>
        <v>0.88146242469705027</v>
      </c>
    </row>
    <row r="10" spans="2:10" x14ac:dyDescent="0.35">
      <c r="B10" s="119" t="s">
        <v>234</v>
      </c>
      <c r="C10" s="119" t="s">
        <v>230</v>
      </c>
      <c r="D10" s="118">
        <v>94801.05</v>
      </c>
      <c r="E10" s="118">
        <v>189712.16</v>
      </c>
      <c r="F10" s="117">
        <v>0.3</v>
      </c>
      <c r="G10" s="99">
        <f>D10/E10</f>
        <v>0.4997099289787223</v>
      </c>
      <c r="H10" s="99">
        <f>D10/(D10+E10)</f>
        <v>0.33320438794388491</v>
      </c>
      <c r="I10" s="116">
        <f>'peers Levered Beta - regression'!E6</f>
        <v>1.3540646979157647</v>
      </c>
      <c r="J10" s="115">
        <f>I10/(1+(1-F10)*(G10))</f>
        <v>1.0031617700942037</v>
      </c>
    </row>
    <row r="11" spans="2:10" x14ac:dyDescent="0.35">
      <c r="B11" s="119" t="s">
        <v>233</v>
      </c>
      <c r="C11" s="119" t="s">
        <v>230</v>
      </c>
      <c r="D11" s="118">
        <v>18406.080000000002</v>
      </c>
      <c r="E11" s="118">
        <v>91711.02</v>
      </c>
      <c r="F11" s="117">
        <v>0.3</v>
      </c>
      <c r="G11" s="99">
        <f>D11/E11</f>
        <v>0.20069649209004545</v>
      </c>
      <c r="H11" s="99">
        <f>D11/(D11+E11)</f>
        <v>0.16715006116216283</v>
      </c>
      <c r="I11" s="116">
        <f>'peers Levered Beta - regression'!E7</f>
        <v>1.3052256641542337</v>
      </c>
      <c r="J11" s="115">
        <f>I11/(1+(1-F11)*(G11))</f>
        <v>1.1444453475103618</v>
      </c>
    </row>
    <row r="12" spans="2:10" x14ac:dyDescent="0.35">
      <c r="B12" s="119" t="s">
        <v>232</v>
      </c>
      <c r="C12" s="119" t="s">
        <v>230</v>
      </c>
      <c r="D12" s="118">
        <v>36933.94</v>
      </c>
      <c r="E12" s="118">
        <v>52655.94</v>
      </c>
      <c r="F12" s="117">
        <v>0.3</v>
      </c>
      <c r="G12" s="99">
        <f>D12/E12</f>
        <v>0.70142020064592903</v>
      </c>
      <c r="H12" s="99">
        <f>D12/(D12+E12)</f>
        <v>0.41225571459633609</v>
      </c>
      <c r="I12" s="116">
        <f>'peers Levered Beta - regression'!E8</f>
        <v>1.5705923991149173</v>
      </c>
      <c r="J12" s="115">
        <f>I12/(1+(1-F12)*(G12))</f>
        <v>1.0533860305035327</v>
      </c>
    </row>
    <row r="13" spans="2:10" x14ac:dyDescent="0.35">
      <c r="B13" s="119" t="s">
        <v>231</v>
      </c>
      <c r="C13" s="119" t="s">
        <v>230</v>
      </c>
      <c r="D13" s="118">
        <v>2861.05</v>
      </c>
      <c r="E13" s="118">
        <v>15199.97</v>
      </c>
      <c r="F13" s="117">
        <v>0.3</v>
      </c>
      <c r="G13" s="99">
        <f>D13/E13</f>
        <v>0.18822734518554973</v>
      </c>
      <c r="H13" s="99">
        <f>D13/(D13+E13)</f>
        <v>0.15841021160488167</v>
      </c>
      <c r="I13" s="116">
        <f>'peers Levered Beta - regression'!E9</f>
        <v>1.2320998238744723</v>
      </c>
      <c r="J13" s="115">
        <f>I13/(1+(1-F13)*(G13))</f>
        <v>1.0886590428596701</v>
      </c>
    </row>
    <row r="14" spans="2:10" ht="5" customHeight="1" x14ac:dyDescent="0.35"/>
    <row r="15" spans="2:10" x14ac:dyDescent="0.35">
      <c r="E15" s="114" t="s">
        <v>229</v>
      </c>
      <c r="F15" s="113">
        <f>AVERAGE(F9:F13)</f>
        <v>0.3</v>
      </c>
      <c r="G15" s="112">
        <f>AVERAGE(G9:G13)</f>
        <v>0.39832876640530623</v>
      </c>
      <c r="H15" s="112">
        <f>AVERAGE(H9:H13)</f>
        <v>0.27150897931603701</v>
      </c>
      <c r="I15" s="111">
        <f>AVERAGE(I9:I13)</f>
        <v>1.3182470946260045</v>
      </c>
      <c r="J15" s="110">
        <f>AVERAGE(J9:J13)</f>
        <v>1.0342229231329638</v>
      </c>
    </row>
    <row r="16" spans="2:10" x14ac:dyDescent="0.35">
      <c r="E16" s="97" t="s">
        <v>156</v>
      </c>
      <c r="F16" s="109">
        <f>MEDIAN(F9:F13)</f>
        <v>0.3</v>
      </c>
      <c r="G16" s="108">
        <f>MEDIAN(G9:G13)</f>
        <v>0.40158986512628453</v>
      </c>
      <c r="H16" s="108">
        <f>MEDIAN(H9:H13)</f>
        <v>0.28652452127291955</v>
      </c>
      <c r="I16" s="107">
        <f>MEDIAN(I9:I13)</f>
        <v>1.3052256641542337</v>
      </c>
      <c r="J16" s="106">
        <f>MEDIAN(J9:J13)</f>
        <v>1.0533860305035327</v>
      </c>
    </row>
    <row r="17" spans="2:10" ht="2" customHeight="1" x14ac:dyDescent="0.35"/>
    <row r="18" spans="2:10" ht="5" customHeight="1" x14ac:dyDescent="0.35"/>
    <row r="19" spans="2:10" x14ac:dyDescent="0.35">
      <c r="B19" s="97" t="s">
        <v>228</v>
      </c>
      <c r="C19" s="98"/>
      <c r="D19" s="98"/>
      <c r="E19" s="97"/>
      <c r="G19" s="97" t="s">
        <v>227</v>
      </c>
      <c r="H19" s="97"/>
      <c r="I19" s="98"/>
      <c r="J19" s="98"/>
    </row>
    <row r="21" spans="2:10" x14ac:dyDescent="0.35">
      <c r="B21" s="8" t="s">
        <v>226</v>
      </c>
      <c r="E21" s="105">
        <f>'Other WACC inputs'!C10+(0.75*'Other WACC inputs'!C11)+'Other WACC inputs'!C12</f>
        <v>6.8055000000000004E-2</v>
      </c>
      <c r="G21" s="8" t="s">
        <v>225</v>
      </c>
      <c r="J21" s="105">
        <f>'Other WACC inputs'!C10</f>
        <v>4.0079999999999998E-2</v>
      </c>
    </row>
    <row r="22" spans="2:10" x14ac:dyDescent="0.35">
      <c r="B22" s="8" t="s">
        <v>224</v>
      </c>
      <c r="C22" s="33"/>
      <c r="D22" s="33"/>
      <c r="E22" s="95">
        <f>F16</f>
        <v>0.3</v>
      </c>
      <c r="G22" s="8" t="s">
        <v>223</v>
      </c>
      <c r="J22" s="105">
        <f>'Other WACC inputs'!C7</f>
        <v>7.2599999999999998E-2</v>
      </c>
    </row>
    <row r="23" spans="2:10" ht="16.5" x14ac:dyDescent="0.35">
      <c r="B23" s="28" t="s">
        <v>222</v>
      </c>
      <c r="E23" s="104">
        <f>E21*(1-E22)</f>
        <v>4.76385E-2</v>
      </c>
      <c r="G23" s="8" t="s">
        <v>221</v>
      </c>
      <c r="J23" s="103">
        <f>J31</f>
        <v>1.3282042924904611</v>
      </c>
    </row>
    <row r="24" spans="2:10" x14ac:dyDescent="0.35">
      <c r="G24" s="28" t="s">
        <v>220</v>
      </c>
      <c r="H24" s="28"/>
      <c r="I24" s="28"/>
      <c r="J24" s="104">
        <f>J21+(J23*J22)</f>
        <v>0.13650763163480747</v>
      </c>
    </row>
    <row r="25" spans="2:10" ht="5" customHeight="1" x14ac:dyDescent="0.35"/>
    <row r="26" spans="2:10" x14ac:dyDescent="0.35">
      <c r="B26" s="97" t="s">
        <v>210</v>
      </c>
      <c r="C26" s="98"/>
      <c r="D26" s="98"/>
      <c r="E26" s="97"/>
      <c r="G26" s="97" t="s">
        <v>212</v>
      </c>
      <c r="H26" s="97"/>
      <c r="I26" s="98"/>
      <c r="J26" s="98"/>
    </row>
    <row r="27" spans="2:10" x14ac:dyDescent="0.35">
      <c r="D27" s="96" t="s">
        <v>219</v>
      </c>
      <c r="E27" s="96" t="s">
        <v>218</v>
      </c>
    </row>
    <row r="28" spans="2:10" x14ac:dyDescent="0.35">
      <c r="B28" s="8" t="s">
        <v>217</v>
      </c>
      <c r="C28" s="102">
        <f>D9</f>
        <v>98752</v>
      </c>
      <c r="D28" s="14">
        <f>C28/C30</f>
        <v>0.28652452127291955</v>
      </c>
      <c r="E28" s="95">
        <f>H15</f>
        <v>0.27150897931603701</v>
      </c>
      <c r="G28" s="8" t="s">
        <v>216</v>
      </c>
      <c r="J28" s="103">
        <f>J16</f>
        <v>1.0533860305035327</v>
      </c>
    </row>
    <row r="29" spans="2:10" x14ac:dyDescent="0.35">
      <c r="B29" s="8" t="s">
        <v>9</v>
      </c>
      <c r="C29" s="102">
        <f>E9</f>
        <v>245902.62</v>
      </c>
      <c r="D29" s="14">
        <f>C29/C30</f>
        <v>0.7134754787270805</v>
      </c>
      <c r="E29" s="62">
        <f>E30-E28</f>
        <v>0.72849102068396299</v>
      </c>
      <c r="G29" s="8" t="s">
        <v>215</v>
      </c>
      <c r="J29" s="95">
        <f>E32</f>
        <v>0.3727005160079031</v>
      </c>
    </row>
    <row r="30" spans="2:10" x14ac:dyDescent="0.35">
      <c r="B30" s="28" t="s">
        <v>214</v>
      </c>
      <c r="C30" s="28">
        <f>C28+C29</f>
        <v>344654.62</v>
      </c>
      <c r="D30" s="30">
        <f>D28+D29</f>
        <v>1</v>
      </c>
      <c r="E30" s="101">
        <v>1</v>
      </c>
      <c r="G30" s="8" t="s">
        <v>213</v>
      </c>
      <c r="J30" s="95">
        <f>E22</f>
        <v>0.3</v>
      </c>
    </row>
    <row r="31" spans="2:10" x14ac:dyDescent="0.35">
      <c r="G31" s="28" t="s">
        <v>212</v>
      </c>
      <c r="H31" s="28"/>
      <c r="I31" s="28"/>
      <c r="J31" s="100">
        <f>J28*(1+((1-J30)*J29))</f>
        <v>1.3282042924904611</v>
      </c>
    </row>
    <row r="32" spans="2:10" x14ac:dyDescent="0.35">
      <c r="B32" s="8" t="s">
        <v>211</v>
      </c>
      <c r="D32" s="99">
        <f>D28/D29</f>
        <v>0.40158986512628453</v>
      </c>
      <c r="E32" s="99">
        <f>E28/E29</f>
        <v>0.3727005160079031</v>
      </c>
    </row>
    <row r="33" spans="1:7" ht="5" customHeight="1" x14ac:dyDescent="0.35"/>
    <row r="34" spans="1:7" x14ac:dyDescent="0.35">
      <c r="B34" s="97" t="s">
        <v>210</v>
      </c>
      <c r="C34" s="98"/>
      <c r="D34" s="98"/>
      <c r="E34" s="97"/>
      <c r="G34" s="53" t="s">
        <v>203</v>
      </c>
    </row>
    <row r="35" spans="1:7" x14ac:dyDescent="0.35">
      <c r="D35" s="96" t="s">
        <v>209</v>
      </c>
      <c r="E35" s="96" t="s">
        <v>208</v>
      </c>
      <c r="G35" s="92" t="s">
        <v>202</v>
      </c>
    </row>
    <row r="36" spans="1:7" x14ac:dyDescent="0.35">
      <c r="B36" s="8" t="s">
        <v>207</v>
      </c>
      <c r="D36" s="95">
        <f>E23</f>
        <v>4.76385E-2</v>
      </c>
      <c r="E36" s="95">
        <f>E28</f>
        <v>0.27150897931603701</v>
      </c>
      <c r="G36" s="92" t="s">
        <v>201</v>
      </c>
    </row>
    <row r="37" spans="1:7" x14ac:dyDescent="0.35">
      <c r="B37" s="8" t="s">
        <v>206</v>
      </c>
      <c r="D37" s="95">
        <f>J24</f>
        <v>0.13650763163480747</v>
      </c>
      <c r="E37" s="95">
        <f>E29</f>
        <v>0.72849102068396299</v>
      </c>
      <c r="G37" s="92" t="s">
        <v>200</v>
      </c>
    </row>
    <row r="38" spans="1:7" x14ac:dyDescent="0.35">
      <c r="A38" s="91" t="s">
        <v>205</v>
      </c>
      <c r="B38" s="94" t="s">
        <v>204</v>
      </c>
      <c r="C38" s="94"/>
      <c r="D38" s="94"/>
      <c r="E38" s="93">
        <f>(D36*E36)+(D37*E37)</f>
        <v>0.11237886441193837</v>
      </c>
      <c r="G38" s="92" t="s">
        <v>199</v>
      </c>
    </row>
    <row r="39" spans="1:7" ht="5" customHeight="1" x14ac:dyDescent="0.35"/>
    <row r="40" spans="1:7" ht="2" customHeight="1" x14ac:dyDescent="0.35"/>
  </sheetData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D2" sqref="D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05"/>
  <sheetViews>
    <sheetView workbookViewId="0">
      <pane xSplit="1" ySplit="3" topLeftCell="B44" activePane="bottomRight" state="frozen"/>
      <selection pane="topRight" activeCell="B1" sqref="B1"/>
      <selection pane="bottomLeft" activeCell="A4" sqref="A4"/>
      <selection pane="bottomRight" activeCell="B47" sqref="B47"/>
    </sheetView>
  </sheetViews>
  <sheetFormatPr defaultRowHeight="14.5" x14ac:dyDescent="0.35"/>
  <cols>
    <col min="1" max="1" width="1.90625" style="8" customWidth="1"/>
    <col min="2" max="2" width="31.7265625" style="8" customWidth="1"/>
    <col min="3" max="12" width="10.81640625" style="8" bestFit="1" customWidth="1"/>
    <col min="13" max="13" width="10.26953125" style="8" bestFit="1" customWidth="1"/>
    <col min="14" max="16384" width="8.7265625" style="8"/>
  </cols>
  <sheetData>
    <row r="2" spans="1:13" x14ac:dyDescent="0.35">
      <c r="B2" s="209" t="str">
        <f>"Historical Financial Statement - "&amp;'Data Sheet'!B1</f>
        <v>Historical Financial Statement - JSW STEEL LTD</v>
      </c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</row>
    <row r="3" spans="1:13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M3" s="10" t="s">
        <v>55</v>
      </c>
    </row>
    <row r="4" spans="1:13" x14ac:dyDescent="0.35">
      <c r="A4" s="17" t="s">
        <v>56</v>
      </c>
      <c r="B4" s="17" t="s">
        <v>57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35">
      <c r="B5" s="8" t="s">
        <v>12</v>
      </c>
      <c r="C5" s="12">
        <f>IFERROR('Data Sheet'!B17,0)</f>
        <v>41546.17</v>
      </c>
      <c r="D5" s="12">
        <f>IFERROR('Data Sheet'!C17,0)</f>
        <v>55604</v>
      </c>
      <c r="E5" s="12">
        <f>IFERROR('Data Sheet'!D17,0)</f>
        <v>71933</v>
      </c>
      <c r="F5" s="12">
        <f>IFERROR('Data Sheet'!E17,0)</f>
        <v>84757</v>
      </c>
      <c r="G5" s="12">
        <f>IFERROR('Data Sheet'!F17,0)</f>
        <v>73326</v>
      </c>
      <c r="H5" s="12">
        <f>IFERROR('Data Sheet'!G17,0)</f>
        <v>79839</v>
      </c>
      <c r="I5" s="12">
        <f>IFERROR('Data Sheet'!H17,0)</f>
        <v>146371</v>
      </c>
      <c r="J5" s="12">
        <f>IFERROR('Data Sheet'!I17,0)</f>
        <v>165960</v>
      </c>
      <c r="K5" s="12">
        <f>IFERROR('Data Sheet'!J17,0)</f>
        <v>175006</v>
      </c>
      <c r="L5" s="12">
        <f>IFERROR('Data Sheet'!K17,0)</f>
        <v>168824</v>
      </c>
      <c r="M5" s="12">
        <f>IFERROR(SUM('Data Sheet'!H42:K42),0)</f>
        <v>168824</v>
      </c>
    </row>
    <row r="6" spans="1:13" x14ac:dyDescent="0.35">
      <c r="B6" s="16" t="s">
        <v>59</v>
      </c>
      <c r="C6" s="13" t="s">
        <v>58</v>
      </c>
      <c r="D6" s="15">
        <f>D5/C5-1</f>
        <v>0.33836644870032551</v>
      </c>
      <c r="E6" s="15">
        <f t="shared" ref="E6:M6" si="0">E5/D5-1</f>
        <v>0.29366592331486951</v>
      </c>
      <c r="F6" s="15">
        <f t="shared" si="0"/>
        <v>0.17827700777112043</v>
      </c>
      <c r="G6" s="15">
        <f t="shared" si="0"/>
        <v>-0.13486791651427021</v>
      </c>
      <c r="H6" s="15">
        <f t="shared" si="0"/>
        <v>8.8822518615497836E-2</v>
      </c>
      <c r="I6" s="15">
        <f t="shared" si="0"/>
        <v>0.83332707072984391</v>
      </c>
      <c r="J6" s="15">
        <f t="shared" si="0"/>
        <v>0.13383115507853338</v>
      </c>
      <c r="K6" s="15">
        <f t="shared" si="0"/>
        <v>5.4507110147023363E-2</v>
      </c>
      <c r="L6" s="15">
        <f t="shared" si="0"/>
        <v>-3.5324503159891663E-2</v>
      </c>
      <c r="M6" s="15">
        <f t="shared" si="0"/>
        <v>0</v>
      </c>
    </row>
    <row r="7" spans="1:13" x14ac:dyDescent="0.35">
      <c r="B7" s="8" t="s">
        <v>60</v>
      </c>
      <c r="C7" s="12">
        <f>IFERROR(SUM('Data Sheet'!B18,'Data Sheet'!B20:B22)-1*'Data Sheet'!B19,0)</f>
        <v>33468.380000000005</v>
      </c>
      <c r="D7" s="12">
        <f>IFERROR(SUM('Data Sheet'!C18,'Data Sheet'!C20:C22)-1*'Data Sheet'!C19,0)</f>
        <v>41733</v>
      </c>
      <c r="E7" s="12">
        <f>IFERROR(SUM('Data Sheet'!D18,'Data Sheet'!D20:D22)-1*'Data Sheet'!D19,0)</f>
        <v>55278</v>
      </c>
      <c r="F7" s="12">
        <f>IFERROR(SUM('Data Sheet'!E18,'Data Sheet'!E20:E22)-1*'Data Sheet'!E19,0)</f>
        <v>62906</v>
      </c>
      <c r="G7" s="12">
        <f>IFERROR(SUM('Data Sheet'!F18,'Data Sheet'!F20:F22)-1*'Data Sheet'!F19,0)</f>
        <v>58084</v>
      </c>
      <c r="H7" s="12">
        <f>IFERROR(SUM('Data Sheet'!G18,'Data Sheet'!G20:G22)-1*'Data Sheet'!G19,0)</f>
        <v>57246</v>
      </c>
      <c r="I7" s="12">
        <f>IFERROR(SUM('Data Sheet'!H18,'Data Sheet'!H20:H22)-1*'Data Sheet'!H19,0)</f>
        <v>103778</v>
      </c>
      <c r="J7" s="12">
        <f>IFERROR(SUM('Data Sheet'!I18,'Data Sheet'!I20:I22)-1*'Data Sheet'!I19,0)</f>
        <v>140925</v>
      </c>
      <c r="K7" s="12">
        <f>IFERROR(SUM('Data Sheet'!J18,'Data Sheet'!J20:J22)-1*'Data Sheet'!J19,0)</f>
        <v>141101</v>
      </c>
      <c r="L7" s="12">
        <f>IFERROR(SUM('Data Sheet'!K18,'Data Sheet'!K20:K22)-1*'Data Sheet'!K19,0)</f>
        <v>110957</v>
      </c>
      <c r="M7" s="12">
        <f>IFERROR(SUM('Data Sheet'!H43:K43),0)</f>
        <v>146237</v>
      </c>
    </row>
    <row r="8" spans="1:13" x14ac:dyDescent="0.35">
      <c r="B8" s="16" t="s">
        <v>61</v>
      </c>
      <c r="C8" s="15">
        <f>C7/C$5</f>
        <v>0.80557076621021884</v>
      </c>
      <c r="D8" s="15">
        <f t="shared" ref="D8:M8" si="1">D7/D$5</f>
        <v>0.75053952953024961</v>
      </c>
      <c r="E8" s="15">
        <f t="shared" si="1"/>
        <v>0.76846509946756014</v>
      </c>
      <c r="F8" s="15">
        <f t="shared" si="1"/>
        <v>0.74219238528971054</v>
      </c>
      <c r="G8" s="15">
        <f t="shared" si="1"/>
        <v>0.79213375883042847</v>
      </c>
      <c r="H8" s="15">
        <f t="shared" si="1"/>
        <v>0.71701799872242888</v>
      </c>
      <c r="I8" s="15">
        <f t="shared" si="1"/>
        <v>0.70900656550819496</v>
      </c>
      <c r="J8" s="15">
        <f t="shared" si="1"/>
        <v>0.8491503976861895</v>
      </c>
      <c r="K8" s="15">
        <f t="shared" si="1"/>
        <v>0.80626378524164888</v>
      </c>
      <c r="L8" s="15">
        <f t="shared" si="1"/>
        <v>0.65723475335260384</v>
      </c>
      <c r="M8" s="15">
        <f t="shared" si="1"/>
        <v>0.86620978059991471</v>
      </c>
    </row>
    <row r="10" spans="1:13" x14ac:dyDescent="0.35">
      <c r="B10" s="20" t="s">
        <v>62</v>
      </c>
      <c r="C10" s="21">
        <f>C5-C7</f>
        <v>8077.7899999999936</v>
      </c>
      <c r="D10" s="21">
        <f t="shared" ref="D10:M10" si="2">D5-D7</f>
        <v>13871</v>
      </c>
      <c r="E10" s="21">
        <f t="shared" si="2"/>
        <v>16655</v>
      </c>
      <c r="F10" s="21">
        <f t="shared" si="2"/>
        <v>21851</v>
      </c>
      <c r="G10" s="21">
        <f t="shared" si="2"/>
        <v>15242</v>
      </c>
      <c r="H10" s="21">
        <f t="shared" si="2"/>
        <v>22593</v>
      </c>
      <c r="I10" s="21">
        <f t="shared" si="2"/>
        <v>42593</v>
      </c>
      <c r="J10" s="21">
        <f t="shared" si="2"/>
        <v>25035</v>
      </c>
      <c r="K10" s="21">
        <f t="shared" si="2"/>
        <v>33905</v>
      </c>
      <c r="L10" s="21">
        <f t="shared" si="2"/>
        <v>57867</v>
      </c>
      <c r="M10" s="21">
        <f t="shared" si="2"/>
        <v>22587</v>
      </c>
    </row>
    <row r="11" spans="1:13" x14ac:dyDescent="0.35">
      <c r="B11" s="16" t="s">
        <v>129</v>
      </c>
      <c r="C11" s="15">
        <f>C10/C5</f>
        <v>0.19442923378978119</v>
      </c>
      <c r="D11" s="15">
        <f t="shared" ref="D11:M11" si="3">D10/D5</f>
        <v>0.24946047046975037</v>
      </c>
      <c r="E11" s="15">
        <f t="shared" si="3"/>
        <v>0.23153490053243991</v>
      </c>
      <c r="F11" s="15">
        <f t="shared" si="3"/>
        <v>0.2578076147102894</v>
      </c>
      <c r="G11" s="15">
        <f t="shared" si="3"/>
        <v>0.2078662411695715</v>
      </c>
      <c r="H11" s="15">
        <f t="shared" si="3"/>
        <v>0.28298200127757112</v>
      </c>
      <c r="I11" s="15">
        <f t="shared" si="3"/>
        <v>0.29099343449180509</v>
      </c>
      <c r="J11" s="15">
        <f t="shared" si="3"/>
        <v>0.15084960231381056</v>
      </c>
      <c r="K11" s="15">
        <f t="shared" si="3"/>
        <v>0.19373621475835115</v>
      </c>
      <c r="L11" s="15">
        <f t="shared" si="3"/>
        <v>0.3427652466473961</v>
      </c>
      <c r="M11" s="15">
        <f t="shared" si="3"/>
        <v>0.13379021940008529</v>
      </c>
    </row>
    <row r="12" spans="1:13" x14ac:dyDescent="0.35">
      <c r="B12" s="25"/>
    </row>
    <row r="13" spans="1:13" x14ac:dyDescent="0.35">
      <c r="B13" s="8" t="s">
        <v>63</v>
      </c>
      <c r="C13" s="12">
        <f>IFERROR(SUM('Data Sheet'!B23:B24),0)</f>
        <v>1655.48</v>
      </c>
      <c r="D13" s="12">
        <f>IFERROR(SUM('Data Sheet'!C23:C24),0)</f>
        <v>1563</v>
      </c>
      <c r="E13" s="12">
        <f>IFERROR(SUM('Data Sheet'!D23:D24),0)</f>
        <v>1739</v>
      </c>
      <c r="F13" s="12">
        <f>IFERROR(SUM('Data Sheet'!E23:E24),0)</f>
        <v>2921</v>
      </c>
      <c r="G13" s="12">
        <f>IFERROR(SUM('Data Sheet'!F23:F24),0)</f>
        <v>3429</v>
      </c>
      <c r="H13" s="12">
        <f>IFERROR(SUM('Data Sheet'!G23:G24),0)</f>
        <v>2415</v>
      </c>
      <c r="I13" s="12">
        <f>IFERROR(SUM('Data Sheet'!H23:H24),0)</f>
        <v>3479</v>
      </c>
      <c r="J13" s="12">
        <f>IFERROR(SUM('Data Sheet'!I23:I24),0)</f>
        <v>6565</v>
      </c>
      <c r="K13" s="12">
        <f>IFERROR(SUM('Data Sheet'!J23:J24),0)</f>
        <v>5748</v>
      </c>
      <c r="L13" s="12">
        <f>IFERROR(SUM('Data Sheet'!K23:K24),0)</f>
        <v>35274</v>
      </c>
      <c r="M13" s="12">
        <f>IFERROR(SUM('Data Sheet'!L23:L24),0)</f>
        <v>0</v>
      </c>
    </row>
    <row r="14" spans="1:13" x14ac:dyDescent="0.35">
      <c r="B14" s="16" t="s">
        <v>64</v>
      </c>
      <c r="C14" s="15">
        <f>C13/C$5</f>
        <v>3.9846753623739566E-2</v>
      </c>
      <c r="D14" s="15">
        <f t="shared" ref="D14:M14" si="4">D13/D$5</f>
        <v>2.8109488526005325E-2</v>
      </c>
      <c r="E14" s="15">
        <f t="shared" si="4"/>
        <v>2.4175274213504232E-2</v>
      </c>
      <c r="F14" s="15">
        <f t="shared" si="4"/>
        <v>3.4463230175678705E-2</v>
      </c>
      <c r="G14" s="15">
        <f t="shared" si="4"/>
        <v>4.6763767285819491E-2</v>
      </c>
      <c r="H14" s="15">
        <f t="shared" si="4"/>
        <v>3.024837485439447E-2</v>
      </c>
      <c r="I14" s="15">
        <f t="shared" si="4"/>
        <v>2.3768369417439247E-2</v>
      </c>
      <c r="J14" s="15">
        <f t="shared" si="4"/>
        <v>3.9557724752952515E-2</v>
      </c>
      <c r="K14" s="15">
        <f t="shared" si="4"/>
        <v>3.2844588185547925E-2</v>
      </c>
      <c r="L14" s="15">
        <f t="shared" si="4"/>
        <v>0.20893948727669051</v>
      </c>
      <c r="M14" s="15">
        <f t="shared" si="4"/>
        <v>0</v>
      </c>
    </row>
    <row r="16" spans="1:13" x14ac:dyDescent="0.35">
      <c r="B16" s="20" t="s">
        <v>65</v>
      </c>
      <c r="C16" s="21">
        <f>C10-C13</f>
        <v>6422.309999999994</v>
      </c>
      <c r="D16" s="21">
        <f t="shared" ref="D16:M16" si="5">D10-D13</f>
        <v>12308</v>
      </c>
      <c r="E16" s="21">
        <f t="shared" si="5"/>
        <v>14916</v>
      </c>
      <c r="F16" s="21">
        <f t="shared" si="5"/>
        <v>18930</v>
      </c>
      <c r="G16" s="21">
        <f t="shared" si="5"/>
        <v>11813</v>
      </c>
      <c r="H16" s="21">
        <f t="shared" si="5"/>
        <v>20178</v>
      </c>
      <c r="I16" s="21">
        <f t="shared" si="5"/>
        <v>39114</v>
      </c>
      <c r="J16" s="21">
        <f t="shared" si="5"/>
        <v>18470</v>
      </c>
      <c r="K16" s="21">
        <f t="shared" si="5"/>
        <v>28157</v>
      </c>
      <c r="L16" s="21">
        <f t="shared" si="5"/>
        <v>22593</v>
      </c>
      <c r="M16" s="21">
        <f t="shared" si="5"/>
        <v>22587</v>
      </c>
    </row>
    <row r="17" spans="2:13" x14ac:dyDescent="0.35">
      <c r="B17" s="16" t="s">
        <v>66</v>
      </c>
      <c r="C17" s="15">
        <f>C16/C$5</f>
        <v>0.15458248016604165</v>
      </c>
      <c r="D17" s="15">
        <f t="shared" ref="D17:M17" si="6">D16/D$5</f>
        <v>0.22135098194374506</v>
      </c>
      <c r="E17" s="15">
        <f t="shared" si="6"/>
        <v>0.20735962631893567</v>
      </c>
      <c r="F17" s="15">
        <f t="shared" si="6"/>
        <v>0.22334438453461072</v>
      </c>
      <c r="G17" s="15">
        <f t="shared" si="6"/>
        <v>0.16110247388375201</v>
      </c>
      <c r="H17" s="15">
        <f t="shared" si="6"/>
        <v>0.25273362642317665</v>
      </c>
      <c r="I17" s="15">
        <f t="shared" si="6"/>
        <v>0.26722506507436583</v>
      </c>
      <c r="J17" s="15">
        <f t="shared" si="6"/>
        <v>0.11129187756085804</v>
      </c>
      <c r="K17" s="15">
        <f t="shared" si="6"/>
        <v>0.16089162657280323</v>
      </c>
      <c r="L17" s="15">
        <f t="shared" si="6"/>
        <v>0.13382575937070559</v>
      </c>
      <c r="M17" s="15">
        <f t="shared" si="6"/>
        <v>0.13379021940008529</v>
      </c>
    </row>
    <row r="19" spans="2:13" x14ac:dyDescent="0.35">
      <c r="B19" s="8" t="s">
        <v>67</v>
      </c>
      <c r="C19" s="12">
        <f>IFERROR('Data Sheet'!B27,0)</f>
        <v>3601.18</v>
      </c>
      <c r="D19" s="12">
        <f>IFERROR('Data Sheet'!C27,0)</f>
        <v>3768</v>
      </c>
      <c r="E19" s="12">
        <f>IFERROR('Data Sheet'!D27,0)</f>
        <v>3701</v>
      </c>
      <c r="F19" s="12">
        <f>IFERROR('Data Sheet'!E27,0)</f>
        <v>3917</v>
      </c>
      <c r="G19" s="12">
        <f>IFERROR('Data Sheet'!F27,0)</f>
        <v>4265</v>
      </c>
      <c r="H19" s="12">
        <f>IFERROR('Data Sheet'!G27,0)</f>
        <v>3957</v>
      </c>
      <c r="I19" s="12">
        <f>IFERROR('Data Sheet'!H27,0)</f>
        <v>4968</v>
      </c>
      <c r="J19" s="12">
        <f>IFERROR('Data Sheet'!I27,0)</f>
        <v>6902</v>
      </c>
      <c r="K19" s="12">
        <f>IFERROR('Data Sheet'!J27,0)</f>
        <v>8105</v>
      </c>
      <c r="L19" s="12">
        <f>IFERROR('Data Sheet'!K27,0)</f>
        <v>8412</v>
      </c>
      <c r="M19" s="12">
        <f>IFERROR(SUM('Data Sheet'!H46:K46),0)</f>
        <v>8412</v>
      </c>
    </row>
    <row r="20" spans="2:13" x14ac:dyDescent="0.35">
      <c r="B20" s="16" t="s">
        <v>68</v>
      </c>
      <c r="C20" s="15">
        <f>C19/C$5</f>
        <v>8.6678988701004211E-2</v>
      </c>
      <c r="D20" s="15">
        <f t="shared" ref="D20:M20" si="7">D19/D$5</f>
        <v>6.7764908999352558E-2</v>
      </c>
      <c r="E20" s="15">
        <f t="shared" si="7"/>
        <v>5.1450655471063353E-2</v>
      </c>
      <c r="F20" s="15">
        <f t="shared" si="7"/>
        <v>4.6214471961017967E-2</v>
      </c>
      <c r="G20" s="15">
        <f t="shared" si="7"/>
        <v>5.8164907399830892E-2</v>
      </c>
      <c r="H20" s="15">
        <f t="shared" si="7"/>
        <v>4.9562244016082363E-2</v>
      </c>
      <c r="I20" s="15">
        <f t="shared" si="7"/>
        <v>3.3941149544650238E-2</v>
      </c>
      <c r="J20" s="15">
        <f t="shared" si="7"/>
        <v>4.1588334538442996E-2</v>
      </c>
      <c r="K20" s="15">
        <f t="shared" si="7"/>
        <v>4.6312697850359415E-2</v>
      </c>
      <c r="L20" s="15">
        <f t="shared" si="7"/>
        <v>4.9827038809647915E-2</v>
      </c>
      <c r="M20" s="15">
        <f t="shared" si="7"/>
        <v>4.9827038809647915E-2</v>
      </c>
    </row>
    <row r="22" spans="2:13" x14ac:dyDescent="0.35">
      <c r="B22" s="8" t="s">
        <v>21</v>
      </c>
      <c r="C22" s="12">
        <f>IFERROR('Data Sheet'!B26,0)</f>
        <v>3322.56</v>
      </c>
      <c r="D22" s="12">
        <f>IFERROR('Data Sheet'!C26,0)</f>
        <v>3430</v>
      </c>
      <c r="E22" s="12">
        <f>IFERROR('Data Sheet'!D26,0)</f>
        <v>3387</v>
      </c>
      <c r="F22" s="12">
        <f>IFERROR('Data Sheet'!E26,0)</f>
        <v>4041</v>
      </c>
      <c r="G22" s="12">
        <f>IFERROR('Data Sheet'!F26,0)</f>
        <v>4246</v>
      </c>
      <c r="H22" s="12">
        <f>IFERROR('Data Sheet'!G26,0)</f>
        <v>4679</v>
      </c>
      <c r="I22" s="12">
        <f>IFERROR('Data Sheet'!H26,0)</f>
        <v>6001</v>
      </c>
      <c r="J22" s="12">
        <f>IFERROR('Data Sheet'!I26,0)</f>
        <v>7474</v>
      </c>
      <c r="K22" s="12">
        <f>IFERROR('Data Sheet'!J26,0)</f>
        <v>8172</v>
      </c>
      <c r="L22" s="12">
        <f>IFERROR('Data Sheet'!K26,0)</f>
        <v>9309</v>
      </c>
      <c r="M22" s="12">
        <f>IFERROR(SUM('Data Sheet'!H45:K45),0)</f>
        <v>9309</v>
      </c>
    </row>
    <row r="23" spans="2:13" x14ac:dyDescent="0.35">
      <c r="B23" s="16" t="s">
        <v>69</v>
      </c>
      <c r="C23" s="15">
        <f>C22/C$5</f>
        <v>7.9972714693075195E-2</v>
      </c>
      <c r="D23" s="15">
        <f t="shared" ref="D23:M23" si="8">D22/D$5</f>
        <v>6.1686209625206823E-2</v>
      </c>
      <c r="E23" s="15">
        <f t="shared" si="8"/>
        <v>4.7085482323829121E-2</v>
      </c>
      <c r="F23" s="15">
        <f t="shared" si="8"/>
        <v>4.7677477966421654E-2</v>
      </c>
      <c r="G23" s="15">
        <f t="shared" si="8"/>
        <v>5.7905790579057904E-2</v>
      </c>
      <c r="H23" s="15">
        <f t="shared" si="8"/>
        <v>5.8605443454953096E-2</v>
      </c>
      <c r="I23" s="15">
        <f t="shared" si="8"/>
        <v>4.0998558457617969E-2</v>
      </c>
      <c r="J23" s="15">
        <f t="shared" si="8"/>
        <v>4.5034948180284404E-2</v>
      </c>
      <c r="K23" s="15">
        <f t="shared" si="8"/>
        <v>4.6695541867135981E-2</v>
      </c>
      <c r="L23" s="15">
        <f t="shared" si="8"/>
        <v>5.5140264417381415E-2</v>
      </c>
      <c r="M23" s="15">
        <f t="shared" si="8"/>
        <v>5.5140264417381415E-2</v>
      </c>
    </row>
    <row r="25" spans="2:13" x14ac:dyDescent="0.35">
      <c r="B25" s="20" t="s">
        <v>70</v>
      </c>
      <c r="C25" s="21">
        <f>C16-C19-C22</f>
        <v>-501.43000000000575</v>
      </c>
      <c r="D25" s="21">
        <f t="shared" ref="D25:M25" si="9">D16-D19-D22</f>
        <v>5110</v>
      </c>
      <c r="E25" s="21">
        <f t="shared" si="9"/>
        <v>7828</v>
      </c>
      <c r="F25" s="21">
        <f t="shared" si="9"/>
        <v>10972</v>
      </c>
      <c r="G25" s="21">
        <f t="shared" si="9"/>
        <v>3302</v>
      </c>
      <c r="H25" s="21">
        <f t="shared" si="9"/>
        <v>11542</v>
      </c>
      <c r="I25" s="21">
        <f t="shared" si="9"/>
        <v>28145</v>
      </c>
      <c r="J25" s="21">
        <f t="shared" si="9"/>
        <v>4094</v>
      </c>
      <c r="K25" s="21">
        <f t="shared" si="9"/>
        <v>11880</v>
      </c>
      <c r="L25" s="21">
        <f t="shared" si="9"/>
        <v>4872</v>
      </c>
      <c r="M25" s="21">
        <f t="shared" si="9"/>
        <v>4866</v>
      </c>
    </row>
    <row r="26" spans="2:13" x14ac:dyDescent="0.35">
      <c r="B26" s="16" t="s">
        <v>71</v>
      </c>
      <c r="C26" s="15">
        <f>C25/C$5</f>
        <v>-1.2069223228037766E-2</v>
      </c>
      <c r="D26" s="15">
        <f t="shared" ref="D26:M26" si="10">D25/D$5</f>
        <v>9.1899863319185676E-2</v>
      </c>
      <c r="E26" s="15">
        <f t="shared" si="10"/>
        <v>0.10882348852404321</v>
      </c>
      <c r="F26" s="15">
        <f t="shared" si="10"/>
        <v>0.1294524346071711</v>
      </c>
      <c r="G26" s="15">
        <f t="shared" si="10"/>
        <v>4.5031775904863215E-2</v>
      </c>
      <c r="H26" s="15">
        <f t="shared" si="10"/>
        <v>0.14456593895214118</v>
      </c>
      <c r="I26" s="15">
        <f t="shared" si="10"/>
        <v>0.19228535707209762</v>
      </c>
      <c r="J26" s="15">
        <f t="shared" si="10"/>
        <v>2.4668594842130635E-2</v>
      </c>
      <c r="K26" s="15">
        <f t="shared" si="10"/>
        <v>6.7883386855307815E-2</v>
      </c>
      <c r="L26" s="15">
        <f t="shared" si="10"/>
        <v>2.8858456143676256E-2</v>
      </c>
      <c r="M26" s="15">
        <f t="shared" si="10"/>
        <v>2.8822916173055962E-2</v>
      </c>
    </row>
    <row r="28" spans="2:13" x14ac:dyDescent="0.35">
      <c r="B28" s="8" t="s">
        <v>72</v>
      </c>
      <c r="C28" s="12">
        <f>IFERROR('Data Sheet'!B29,0)</f>
        <v>-1966.21</v>
      </c>
      <c r="D28" s="12">
        <f>IFERROR('Data Sheet'!C29,0)</f>
        <v>1674</v>
      </c>
      <c r="E28" s="12">
        <f>IFERROR('Data Sheet'!D29,0)</f>
        <v>1538</v>
      </c>
      <c r="F28" s="12">
        <f>IFERROR('Data Sheet'!E29,0)</f>
        <v>3644</v>
      </c>
      <c r="G28" s="12">
        <f>IFERROR('Data Sheet'!F29,0)</f>
        <v>-906</v>
      </c>
      <c r="H28" s="12">
        <f>IFERROR('Data Sheet'!G29,0)</f>
        <v>4142</v>
      </c>
      <c r="I28" s="12">
        <f>IFERROR('Data Sheet'!H29,0)</f>
        <v>8807</v>
      </c>
      <c r="J28" s="12">
        <f>IFERROR('Data Sheet'!I29,0)</f>
        <v>1516</v>
      </c>
      <c r="K28" s="12">
        <f>IFERROR('Data Sheet'!J29,0)</f>
        <v>4407</v>
      </c>
      <c r="L28" s="12">
        <f>IFERROR('Data Sheet'!K29,0)</f>
        <v>1586</v>
      </c>
      <c r="M28" s="12">
        <f>IFERROR(SUM('Data Sheet'!H48:K48),0)</f>
        <v>1586</v>
      </c>
    </row>
    <row r="29" spans="2:13" x14ac:dyDescent="0.35">
      <c r="B29" s="16" t="s">
        <v>73</v>
      </c>
      <c r="C29" s="15">
        <f>C28/C25</f>
        <v>3.921205352691258</v>
      </c>
      <c r="D29" s="15">
        <f t="shared" ref="D29:M29" si="11">D28/D25</f>
        <v>0.32759295499021529</v>
      </c>
      <c r="E29" s="15">
        <f t="shared" si="11"/>
        <v>0.19647419519672968</v>
      </c>
      <c r="F29" s="15">
        <f t="shared" si="11"/>
        <v>0.33211811884797665</v>
      </c>
      <c r="G29" s="15">
        <f t="shared" si="11"/>
        <v>-0.27437916414294367</v>
      </c>
      <c r="H29" s="15">
        <f t="shared" si="11"/>
        <v>0.35886328192687578</v>
      </c>
      <c r="I29" s="15">
        <f t="shared" si="11"/>
        <v>0.31291526025937111</v>
      </c>
      <c r="J29" s="15">
        <f t="shared" si="11"/>
        <v>0.37029799706888128</v>
      </c>
      <c r="K29" s="15">
        <f t="shared" si="11"/>
        <v>0.37095959595959593</v>
      </c>
      <c r="L29" s="15">
        <f t="shared" si="11"/>
        <v>0.32553366174055831</v>
      </c>
      <c r="M29" s="15">
        <f t="shared" si="11"/>
        <v>0.32593505959720509</v>
      </c>
    </row>
    <row r="31" spans="2:13" ht="15" thickBot="1" x14ac:dyDescent="0.4">
      <c r="B31" s="23" t="s">
        <v>74</v>
      </c>
      <c r="C31" s="24">
        <f>C25-C28</f>
        <v>1464.7799999999943</v>
      </c>
      <c r="D31" s="24">
        <f t="shared" ref="D31:M31" si="12">D25-D28</f>
        <v>3436</v>
      </c>
      <c r="E31" s="24">
        <f t="shared" si="12"/>
        <v>6290</v>
      </c>
      <c r="F31" s="24">
        <f t="shared" si="12"/>
        <v>7328</v>
      </c>
      <c r="G31" s="24">
        <f t="shared" si="12"/>
        <v>4208</v>
      </c>
      <c r="H31" s="24">
        <f t="shared" si="12"/>
        <v>7400</v>
      </c>
      <c r="I31" s="24">
        <f t="shared" si="12"/>
        <v>19338</v>
      </c>
      <c r="J31" s="24">
        <f t="shared" si="12"/>
        <v>2578</v>
      </c>
      <c r="K31" s="24">
        <f t="shared" si="12"/>
        <v>7473</v>
      </c>
      <c r="L31" s="24">
        <f t="shared" si="12"/>
        <v>3286</v>
      </c>
      <c r="M31" s="24">
        <f t="shared" si="12"/>
        <v>3280</v>
      </c>
    </row>
    <row r="32" spans="2:13" x14ac:dyDescent="0.35">
      <c r="B32" s="16" t="s">
        <v>75</v>
      </c>
      <c r="C32" s="15">
        <f>C31/C$5</f>
        <v>3.5256679496569583E-2</v>
      </c>
      <c r="D32" s="15">
        <f t="shared" ref="D32:M32" si="13">D31/D$5</f>
        <v>6.1794115531256744E-2</v>
      </c>
      <c r="E32" s="15">
        <f t="shared" si="13"/>
        <v>8.7442481197781266E-2</v>
      </c>
      <c r="F32" s="15">
        <f t="shared" si="13"/>
        <v>8.645893554514672E-2</v>
      </c>
      <c r="G32" s="15">
        <f t="shared" si="13"/>
        <v>5.7387556937511935E-2</v>
      </c>
      <c r="H32" s="15">
        <f t="shared" si="13"/>
        <v>9.2686531644935427E-2</v>
      </c>
      <c r="I32" s="15">
        <f t="shared" si="13"/>
        <v>0.13211633451981608</v>
      </c>
      <c r="J32" s="15">
        <f t="shared" si="13"/>
        <v>1.5533863581585924E-2</v>
      </c>
      <c r="K32" s="15">
        <f t="shared" si="13"/>
        <v>4.2701393095093881E-2</v>
      </c>
      <c r="L32" s="15">
        <f t="shared" si="13"/>
        <v>1.9464057243046014E-2</v>
      </c>
      <c r="M32" s="15">
        <f t="shared" si="13"/>
        <v>1.942851727242572E-2</v>
      </c>
    </row>
    <row r="34" spans="1:13" x14ac:dyDescent="0.35">
      <c r="B34" s="8" t="s">
        <v>76</v>
      </c>
      <c r="C34" s="8">
        <f>IFERROR('Data Sheet'!B93,0)</f>
        <v>241.72</v>
      </c>
      <c r="D34" s="8">
        <f>IFERROR('Data Sheet'!C93,0)</f>
        <v>241.72</v>
      </c>
      <c r="E34" s="8">
        <f>IFERROR('Data Sheet'!D93,0)</f>
        <v>241.72</v>
      </c>
      <c r="F34" s="8">
        <f>IFERROR('Data Sheet'!E93,0)</f>
        <v>241.72</v>
      </c>
      <c r="G34" s="8">
        <f>IFERROR('Data Sheet'!F93,0)</f>
        <v>241.72</v>
      </c>
      <c r="H34" s="8">
        <f>IFERROR('Data Sheet'!G93,0)</f>
        <v>241.72</v>
      </c>
      <c r="I34" s="8">
        <f>IFERROR('Data Sheet'!H93,0)</f>
        <v>241.72</v>
      </c>
      <c r="J34" s="8">
        <f>IFERROR('Data Sheet'!I93,0)</f>
        <v>241.72</v>
      </c>
      <c r="K34" s="8">
        <f>IFERROR('Data Sheet'!J93,0)</f>
        <v>244.55</v>
      </c>
      <c r="L34" s="8">
        <f>IFERROR('Data Sheet'!K93,0)</f>
        <v>244.55</v>
      </c>
      <c r="M34" s="8">
        <f>IFERROR('Data Sheet'!L93,0)</f>
        <v>0</v>
      </c>
    </row>
    <row r="36" spans="1:13" x14ac:dyDescent="0.35">
      <c r="B36" s="8" t="s">
        <v>77</v>
      </c>
      <c r="C36" s="12">
        <f>C31/C34</f>
        <v>6.0598212808207608</v>
      </c>
      <c r="D36" s="12">
        <f t="shared" ref="D36:L36" si="14">D31/D34</f>
        <v>14.214793976501738</v>
      </c>
      <c r="E36" s="12">
        <f t="shared" si="14"/>
        <v>26.021843455237466</v>
      </c>
      <c r="F36" s="12">
        <f t="shared" si="14"/>
        <v>30.316068178057257</v>
      </c>
      <c r="G36" s="12">
        <f t="shared" si="14"/>
        <v>17.408571901373492</v>
      </c>
      <c r="H36" s="12">
        <f t="shared" si="14"/>
        <v>30.61393347674996</v>
      </c>
      <c r="I36" s="12">
        <f t="shared" si="14"/>
        <v>80.001654807214962</v>
      </c>
      <c r="J36" s="12">
        <f t="shared" si="14"/>
        <v>10.665232500413701</v>
      </c>
      <c r="K36" s="12">
        <f t="shared" si="14"/>
        <v>30.558168063790635</v>
      </c>
      <c r="L36" s="12">
        <f t="shared" si="14"/>
        <v>13.436924964219996</v>
      </c>
      <c r="M36" s="12">
        <v>0</v>
      </c>
    </row>
    <row r="37" spans="1:13" x14ac:dyDescent="0.35">
      <c r="B37" s="16" t="s">
        <v>79</v>
      </c>
      <c r="C37" s="12"/>
      <c r="D37" s="15">
        <f>IFERROR(D36/C36-1,0)</f>
        <v>1.3457447534783471</v>
      </c>
      <c r="E37" s="15">
        <f t="shared" ref="E37:M37" si="15">IFERROR(E36/D36-1,0)</f>
        <v>0.83061699650756693</v>
      </c>
      <c r="F37" s="15">
        <f t="shared" si="15"/>
        <v>0.16502384737678844</v>
      </c>
      <c r="G37" s="15">
        <f t="shared" si="15"/>
        <v>-0.42576419213973793</v>
      </c>
      <c r="H37" s="15">
        <f t="shared" si="15"/>
        <v>0.7585551330798479</v>
      </c>
      <c r="I37" s="15">
        <f t="shared" si="15"/>
        <v>1.6132432432432431</v>
      </c>
      <c r="J37" s="15">
        <f t="shared" si="15"/>
        <v>-0.86668735132898955</v>
      </c>
      <c r="K37" s="15">
        <f t="shared" si="15"/>
        <v>1.8652134927771424</v>
      </c>
      <c r="L37" s="15">
        <f t="shared" si="15"/>
        <v>-0.56028368794326244</v>
      </c>
      <c r="M37" s="15">
        <f t="shared" si="15"/>
        <v>-1</v>
      </c>
    </row>
    <row r="39" spans="1:13" x14ac:dyDescent="0.35">
      <c r="B39" s="8" t="s">
        <v>78</v>
      </c>
      <c r="C39" s="12">
        <f>IFERROR('Data Sheet'!B31/HistoricalFS!C34,0)</f>
        <v>0.93364223068012575</v>
      </c>
      <c r="D39" s="12">
        <f>IFERROR('Data Sheet'!C31/HistoricalFS!D34,0)</f>
        <v>2.8017954658282309</v>
      </c>
      <c r="E39" s="12">
        <f>IFERROR('Data Sheet'!D31/HistoricalFS!E34,0)</f>
        <v>3.9980142313420486</v>
      </c>
      <c r="F39" s="12">
        <f>IFERROR('Data Sheet'!E31/HistoricalFS!F34,0)</f>
        <v>5.1054939599536651</v>
      </c>
      <c r="G39" s="12">
        <f>IFERROR('Data Sheet'!F31/HistoricalFS!G34,0)</f>
        <v>2.4904848585139829</v>
      </c>
      <c r="H39" s="12">
        <f>IFERROR('Data Sheet'!G31/HistoricalFS!H34,0)</f>
        <v>8.1209664074135368</v>
      </c>
      <c r="I39" s="12">
        <f>IFERROR('Data Sheet'!H31/HistoricalFS!I34,0)</f>
        <v>21.604956147608807</v>
      </c>
      <c r="J39" s="12">
        <f>IFERROR('Data Sheet'!I31/HistoricalFS!J34,0)</f>
        <v>4.2338242594737716</v>
      </c>
      <c r="K39" s="12">
        <f>IFERROR('Data Sheet'!J31/HistoricalFS!K34,0)</f>
        <v>9.1044776119402986</v>
      </c>
      <c r="L39" s="12">
        <f>IFERROR('Data Sheet'!K31/HistoricalFS!L34,0)</f>
        <v>0</v>
      </c>
      <c r="M39" s="12">
        <f>IFERROR('Data Sheet'!L31/HistoricalFS!M34,0)</f>
        <v>0</v>
      </c>
    </row>
    <row r="40" spans="1:13" x14ac:dyDescent="0.35">
      <c r="B40" s="16" t="s">
        <v>80</v>
      </c>
      <c r="C40" s="15">
        <f>IFERROR(C39/C36,0)</f>
        <v>0.15407091849970703</v>
      </c>
      <c r="D40" s="15">
        <f t="shared" ref="D40:M40" si="16">IFERROR(D39/D36,0)</f>
        <v>0.19710419091967402</v>
      </c>
      <c r="E40" s="15">
        <f t="shared" si="16"/>
        <v>0.15364069952305245</v>
      </c>
      <c r="F40" s="15">
        <f t="shared" si="16"/>
        <v>0.16840884279475982</v>
      </c>
      <c r="G40" s="15">
        <f t="shared" si="16"/>
        <v>0.14306083650190113</v>
      </c>
      <c r="H40" s="15">
        <f t="shared" si="16"/>
        <v>0.26527027027027028</v>
      </c>
      <c r="I40" s="15">
        <f t="shared" si="16"/>
        <v>0.27005636570482988</v>
      </c>
      <c r="J40" s="15">
        <f t="shared" si="16"/>
        <v>0.39697439875872775</v>
      </c>
      <c r="K40" s="15">
        <f t="shared" si="16"/>
        <v>0.29793924795932025</v>
      </c>
      <c r="L40" s="15">
        <f t="shared" si="16"/>
        <v>0</v>
      </c>
      <c r="M40" s="15">
        <f t="shared" si="16"/>
        <v>0</v>
      </c>
    </row>
    <row r="42" spans="1:13" x14ac:dyDescent="0.35">
      <c r="B42" s="8" t="s">
        <v>81</v>
      </c>
      <c r="C42" s="15">
        <f>IFERROR(IF(C36&gt;C39,1-C40,0),0)</f>
        <v>0.845929081500293</v>
      </c>
      <c r="D42" s="15">
        <f t="shared" ref="D42:M42" si="17">IFERROR(IF(D36&gt;D39,1-D40,0),0)</f>
        <v>0.80289580908032598</v>
      </c>
      <c r="E42" s="15">
        <f t="shared" si="17"/>
        <v>0.84635930047694752</v>
      </c>
      <c r="F42" s="15">
        <f t="shared" si="17"/>
        <v>0.83159115720524013</v>
      </c>
      <c r="G42" s="15">
        <f t="shared" si="17"/>
        <v>0.85693916349809884</v>
      </c>
      <c r="H42" s="15">
        <f t="shared" si="17"/>
        <v>0.73472972972972972</v>
      </c>
      <c r="I42" s="15">
        <f t="shared" si="17"/>
        <v>0.72994363429517017</v>
      </c>
      <c r="J42" s="15">
        <f t="shared" si="17"/>
        <v>0.60302560124127225</v>
      </c>
      <c r="K42" s="15">
        <f t="shared" si="17"/>
        <v>0.70206075204067975</v>
      </c>
      <c r="L42" s="15">
        <f t="shared" si="17"/>
        <v>1</v>
      </c>
      <c r="M42" s="15">
        <f t="shared" si="17"/>
        <v>0</v>
      </c>
    </row>
    <row r="45" spans="1:13" x14ac:dyDescent="0.35">
      <c r="A45" s="17" t="s">
        <v>56</v>
      </c>
      <c r="B45" s="17" t="s">
        <v>82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</row>
    <row r="46" spans="1:13" x14ac:dyDescent="0.35">
      <c r="B46" s="8" t="s">
        <v>31</v>
      </c>
      <c r="C46" s="12">
        <f>IFERROR('Data Sheet'!B57,0)</f>
        <v>300.89999999999998</v>
      </c>
      <c r="D46" s="12">
        <f>IFERROR('Data Sheet'!C57,0)</f>
        <v>301</v>
      </c>
      <c r="E46" s="12">
        <f>IFERROR('Data Sheet'!D57,0)</f>
        <v>302</v>
      </c>
      <c r="F46" s="12">
        <f>IFERROR('Data Sheet'!E57,0)</f>
        <v>301</v>
      </c>
      <c r="G46" s="12">
        <f>IFERROR('Data Sheet'!F57,0)</f>
        <v>301</v>
      </c>
      <c r="H46" s="12">
        <f>IFERROR('Data Sheet'!G57,0)</f>
        <v>302</v>
      </c>
      <c r="I46" s="12">
        <f>IFERROR('Data Sheet'!H57,0)</f>
        <v>301</v>
      </c>
      <c r="J46" s="12">
        <f>IFERROR('Data Sheet'!I57,0)</f>
        <v>301</v>
      </c>
      <c r="K46" s="12">
        <f>IFERROR('Data Sheet'!J57,0)</f>
        <v>305</v>
      </c>
      <c r="L46" s="12">
        <f>IFERROR('Data Sheet'!K57,0)</f>
        <v>305</v>
      </c>
      <c r="M46" s="12">
        <f>IFERROR('Data Sheet'!L57,0)</f>
        <v>0</v>
      </c>
    </row>
    <row r="47" spans="1:13" x14ac:dyDescent="0.35">
      <c r="B47" s="8" t="s">
        <v>32</v>
      </c>
      <c r="C47" s="12">
        <f>IFERROR('Data Sheet'!B58,0)</f>
        <v>18664.55</v>
      </c>
      <c r="D47" s="12">
        <f>IFERROR('Data Sheet'!C58,0)</f>
        <v>22346</v>
      </c>
      <c r="E47" s="12">
        <f>IFERROR('Data Sheet'!D58,0)</f>
        <v>27696</v>
      </c>
      <c r="F47" s="12">
        <f>IFERROR('Data Sheet'!E58,0)</f>
        <v>34494</v>
      </c>
      <c r="G47" s="12">
        <f>IFERROR('Data Sheet'!F58,0)</f>
        <v>36298</v>
      </c>
      <c r="H47" s="12">
        <f>IFERROR('Data Sheet'!G58,0)</f>
        <v>46462</v>
      </c>
      <c r="I47" s="12">
        <f>IFERROR('Data Sheet'!H58,0)</f>
        <v>66996</v>
      </c>
      <c r="J47" s="12">
        <f>IFERROR('Data Sheet'!I58,0)</f>
        <v>65394</v>
      </c>
      <c r="K47" s="12">
        <f>IFERROR('Data Sheet'!J58,0)</f>
        <v>77364</v>
      </c>
      <c r="L47" s="12">
        <f>IFERROR('Data Sheet'!K58,0)</f>
        <v>79191</v>
      </c>
      <c r="M47" s="12">
        <f>IFERROR('Data Sheet'!L58,0)</f>
        <v>0</v>
      </c>
    </row>
    <row r="48" spans="1:13" x14ac:dyDescent="0.35">
      <c r="B48" s="8" t="s">
        <v>33</v>
      </c>
      <c r="C48" s="12">
        <f>IFERROR('Data Sheet'!B59,0)</f>
        <v>42204.03</v>
      </c>
      <c r="D48" s="12">
        <f>IFERROR('Data Sheet'!C59,0)</f>
        <v>43334</v>
      </c>
      <c r="E48" s="12">
        <f>IFERROR('Data Sheet'!D59,0)</f>
        <v>39393</v>
      </c>
      <c r="F48" s="12">
        <f>IFERROR('Data Sheet'!E59,0)</f>
        <v>47396</v>
      </c>
      <c r="G48" s="12">
        <f>IFERROR('Data Sheet'!F59,0)</f>
        <v>61423</v>
      </c>
      <c r="H48" s="12">
        <f>IFERROR('Data Sheet'!G59,0)</f>
        <v>62392</v>
      </c>
      <c r="I48" s="12">
        <f>IFERROR('Data Sheet'!H59,0)</f>
        <v>72237</v>
      </c>
      <c r="J48" s="12">
        <f>IFERROR('Data Sheet'!I59,0)</f>
        <v>80853</v>
      </c>
      <c r="K48" s="12">
        <f>IFERROR('Data Sheet'!J59,0)</f>
        <v>87984</v>
      </c>
      <c r="L48" s="12">
        <f>IFERROR('Data Sheet'!K59,0)</f>
        <v>98752</v>
      </c>
      <c r="M48" s="12">
        <f>IFERROR('Data Sheet'!L59,0)</f>
        <v>0</v>
      </c>
    </row>
    <row r="49" spans="2:14" x14ac:dyDescent="0.35">
      <c r="B49" s="8" t="s">
        <v>34</v>
      </c>
      <c r="C49" s="12">
        <f>IFERROR('Data Sheet'!B60,0)</f>
        <v>20737.419999999998</v>
      </c>
      <c r="D49" s="12">
        <f>IFERROR('Data Sheet'!C60,0)</f>
        <v>22024</v>
      </c>
      <c r="E49" s="12">
        <f>IFERROR('Data Sheet'!D60,0)</f>
        <v>24579</v>
      </c>
      <c r="F49" s="12">
        <f>IFERROR('Data Sheet'!E60,0)</f>
        <v>32606</v>
      </c>
      <c r="G49" s="12">
        <f>IFERROR('Data Sheet'!F60,0)</f>
        <v>33798</v>
      </c>
      <c r="H49" s="12">
        <f>IFERROR('Data Sheet'!G60,0)</f>
        <v>39161</v>
      </c>
      <c r="I49" s="12">
        <f>IFERROR('Data Sheet'!H60,0)</f>
        <v>56951</v>
      </c>
      <c r="J49" s="12">
        <f>IFERROR('Data Sheet'!I60,0)</f>
        <v>63991</v>
      </c>
      <c r="K49" s="12">
        <f>IFERROR('Data Sheet'!J60,0)</f>
        <v>62245</v>
      </c>
      <c r="L49" s="12">
        <f>IFERROR('Data Sheet'!K60,0)</f>
        <v>62494</v>
      </c>
      <c r="M49" s="12">
        <f>IFERROR('Data Sheet'!L60,0)</f>
        <v>0</v>
      </c>
    </row>
    <row r="50" spans="2:14" ht="15" thickBot="1" x14ac:dyDescent="0.4">
      <c r="B50" s="23" t="s">
        <v>84</v>
      </c>
      <c r="C50" s="24">
        <f>IFERROR('Data Sheet'!B61,0)</f>
        <v>81906.899999999994</v>
      </c>
      <c r="D50" s="24">
        <f>IFERROR('Data Sheet'!C61,0)</f>
        <v>88005</v>
      </c>
      <c r="E50" s="24">
        <f>IFERROR('Data Sheet'!D61,0)</f>
        <v>91970</v>
      </c>
      <c r="F50" s="24">
        <f>IFERROR('Data Sheet'!E61,0)</f>
        <v>114797</v>
      </c>
      <c r="G50" s="24">
        <f>IFERROR('Data Sheet'!F61,0)</f>
        <v>131820</v>
      </c>
      <c r="H50" s="24">
        <f>IFERROR('Data Sheet'!G61,0)</f>
        <v>148317</v>
      </c>
      <c r="I50" s="24">
        <f>IFERROR('Data Sheet'!H61,0)</f>
        <v>196485</v>
      </c>
      <c r="J50" s="24">
        <f>IFERROR('Data Sheet'!I61,0)</f>
        <v>210539</v>
      </c>
      <c r="K50" s="24">
        <f>IFERROR('Data Sheet'!J61,0)</f>
        <v>227898</v>
      </c>
      <c r="L50" s="24">
        <f>IFERROR('Data Sheet'!K61,0)</f>
        <v>240742</v>
      </c>
      <c r="M50" s="24">
        <f>IFERROR('Data Sheet'!L61,0)</f>
        <v>0</v>
      </c>
      <c r="N50" s="11"/>
    </row>
    <row r="52" spans="2:14" x14ac:dyDescent="0.35">
      <c r="B52" s="8" t="s">
        <v>85</v>
      </c>
      <c r="C52" s="12">
        <f>IFERROR('Data Sheet'!B62,0)</f>
        <v>56139.519999999997</v>
      </c>
      <c r="D52" s="12">
        <f>IFERROR('Data Sheet'!C62,0)</f>
        <v>58730</v>
      </c>
      <c r="E52" s="12">
        <f>IFERROR('Data Sheet'!D62,0)</f>
        <v>57848</v>
      </c>
      <c r="F52" s="12">
        <f>IFERROR('Data Sheet'!E62,0)</f>
        <v>62644</v>
      </c>
      <c r="G52" s="12">
        <f>IFERROR('Data Sheet'!F62,0)</f>
        <v>62085</v>
      </c>
      <c r="H52" s="12">
        <f>IFERROR('Data Sheet'!G62,0)</f>
        <v>64917</v>
      </c>
      <c r="I52" s="12">
        <f>IFERROR('Data Sheet'!H62,0)</f>
        <v>99880</v>
      </c>
      <c r="J52" s="12">
        <f>IFERROR('Data Sheet'!I62,0)</f>
        <v>104452</v>
      </c>
      <c r="K52" s="12">
        <f>IFERROR('Data Sheet'!J62,0)</f>
        <v>112461</v>
      </c>
      <c r="L52" s="12">
        <f>IFERROR('Data Sheet'!K62,0)</f>
        <v>124995</v>
      </c>
      <c r="M52" s="12">
        <f>IFERROR('Data Sheet'!L62,0)</f>
        <v>0</v>
      </c>
    </row>
    <row r="53" spans="2:14" x14ac:dyDescent="0.35">
      <c r="B53" s="8" t="s">
        <v>37</v>
      </c>
      <c r="C53" s="12">
        <f>IFERROR('Data Sheet'!B63,0)</f>
        <v>7270.85</v>
      </c>
      <c r="D53" s="12">
        <f>IFERROR('Data Sheet'!C63,0)</f>
        <v>4363</v>
      </c>
      <c r="E53" s="12">
        <f>IFERROR('Data Sheet'!D63,0)</f>
        <v>5950</v>
      </c>
      <c r="F53" s="12">
        <f>IFERROR('Data Sheet'!E63,0)</f>
        <v>11889</v>
      </c>
      <c r="G53" s="12">
        <f>IFERROR('Data Sheet'!F63,0)</f>
        <v>27191</v>
      </c>
      <c r="H53" s="12">
        <f>IFERROR('Data Sheet'!G63,0)</f>
        <v>32566</v>
      </c>
      <c r="I53" s="12">
        <f>IFERROR('Data Sheet'!H63,0)</f>
        <v>16905</v>
      </c>
      <c r="J53" s="12">
        <f>IFERROR('Data Sheet'!I63,0)</f>
        <v>22166</v>
      </c>
      <c r="K53" s="12">
        <f>IFERROR('Data Sheet'!J63,0)</f>
        <v>29676</v>
      </c>
      <c r="L53" s="12">
        <f>IFERROR('Data Sheet'!K63,0)</f>
        <v>20478</v>
      </c>
      <c r="M53" s="12">
        <f>IFERROR('Data Sheet'!L63,0)</f>
        <v>0</v>
      </c>
    </row>
    <row r="54" spans="2:14" x14ac:dyDescent="0.35">
      <c r="B54" s="8" t="s">
        <v>38</v>
      </c>
      <c r="C54" s="12">
        <f>IFERROR('Data Sheet'!B64,0)</f>
        <v>1194.6099999999999</v>
      </c>
      <c r="D54" s="12">
        <f>IFERROR('Data Sheet'!C64,0)</f>
        <v>1366</v>
      </c>
      <c r="E54" s="12">
        <f>IFERROR('Data Sheet'!D64,0)</f>
        <v>1469</v>
      </c>
      <c r="F54" s="12">
        <f>IFERROR('Data Sheet'!E64,0)</f>
        <v>1894</v>
      </c>
      <c r="G54" s="12">
        <f>IFERROR('Data Sheet'!F64,0)</f>
        <v>1259</v>
      </c>
      <c r="H54" s="12">
        <f>IFERROR('Data Sheet'!G64,0)</f>
        <v>8581</v>
      </c>
      <c r="I54" s="12">
        <f>IFERROR('Data Sheet'!H64,0)</f>
        <v>4940</v>
      </c>
      <c r="J54" s="12">
        <f>IFERROR('Data Sheet'!I64,0)</f>
        <v>4806</v>
      </c>
      <c r="K54" s="12">
        <f>IFERROR('Data Sheet'!J64,0)</f>
        <v>7246</v>
      </c>
      <c r="L54" s="12">
        <f>IFERROR('Data Sheet'!K64,0)</f>
        <v>15217</v>
      </c>
      <c r="M54" s="12">
        <f>IFERROR('Data Sheet'!L64,0)</f>
        <v>0</v>
      </c>
    </row>
    <row r="55" spans="2:14" x14ac:dyDescent="0.35">
      <c r="B55" s="8" t="s">
        <v>39</v>
      </c>
      <c r="C55" s="12">
        <f>IFERROR('Data Sheet'!B65-SUM('Data Sheet'!B67:B69),0)</f>
        <v>5232.9699999999993</v>
      </c>
      <c r="D55" s="12">
        <f>IFERROR('Data Sheet'!C65-SUM('Data Sheet'!C67:C69),0)</f>
        <v>6517</v>
      </c>
      <c r="E55" s="12">
        <f>IFERROR('Data Sheet'!D65-SUM('Data Sheet'!D67:D69),0)</f>
        <v>8342</v>
      </c>
      <c r="F55" s="12">
        <f>IFERROR('Data Sheet'!E65-SUM('Data Sheet'!E67:E69),0)</f>
        <v>10475</v>
      </c>
      <c r="G55" s="12">
        <f>IFERROR('Data Sheet'!F65-SUM('Data Sheet'!F67:F69),0)</f>
        <v>11004</v>
      </c>
      <c r="H55" s="12">
        <f>IFERROR('Data Sheet'!G65-SUM('Data Sheet'!G67:G69),0)</f>
        <v>10705</v>
      </c>
      <c r="I55" s="12">
        <f>IFERROR('Data Sheet'!H65-SUM('Data Sheet'!H67:H69),0)</f>
        <v>16133</v>
      </c>
      <c r="J55" s="12">
        <f>IFERROR('Data Sheet'!I65-SUM('Data Sheet'!I67:I69),0)</f>
        <v>18132</v>
      </c>
      <c r="K55" s="12">
        <f>IFERROR('Data Sheet'!J65-SUM('Data Sheet'!J67:J69),0)</f>
        <v>20804</v>
      </c>
      <c r="L55" s="12">
        <f>IFERROR('Data Sheet'!K65-SUM('Data Sheet'!K67:K69),0)</f>
        <v>23396</v>
      </c>
      <c r="M55" s="12">
        <f>IFERROR('Data Sheet'!L65-SUM('Data Sheet'!L67:L69),0)</f>
        <v>0</v>
      </c>
    </row>
    <row r="56" spans="2:14" x14ac:dyDescent="0.35">
      <c r="B56" s="20" t="s">
        <v>86</v>
      </c>
      <c r="C56" s="21">
        <f>IFERROR(SUM(C52:C55),0)</f>
        <v>69837.95</v>
      </c>
      <c r="D56" s="21">
        <f t="shared" ref="D56:M56" si="18">IFERROR(SUM(D52:D55),0)</f>
        <v>70976</v>
      </c>
      <c r="E56" s="21">
        <f t="shared" si="18"/>
        <v>73609</v>
      </c>
      <c r="F56" s="21">
        <f t="shared" si="18"/>
        <v>86902</v>
      </c>
      <c r="G56" s="21">
        <f t="shared" si="18"/>
        <v>101539</v>
      </c>
      <c r="H56" s="21">
        <f t="shared" si="18"/>
        <v>116769</v>
      </c>
      <c r="I56" s="21">
        <f t="shared" si="18"/>
        <v>137858</v>
      </c>
      <c r="J56" s="21">
        <f t="shared" si="18"/>
        <v>149556</v>
      </c>
      <c r="K56" s="21">
        <f t="shared" si="18"/>
        <v>170187</v>
      </c>
      <c r="L56" s="21">
        <f t="shared" si="18"/>
        <v>184086</v>
      </c>
      <c r="M56" s="21">
        <f t="shared" si="18"/>
        <v>0</v>
      </c>
      <c r="N56" s="19"/>
    </row>
    <row r="58" spans="2:14" x14ac:dyDescent="0.35">
      <c r="B58" s="8" t="s">
        <v>40</v>
      </c>
      <c r="C58" s="12">
        <f>IFERROR('Data Sheet'!B67,0)</f>
        <v>2727.37</v>
      </c>
      <c r="D58" s="12">
        <f>IFERROR('Data Sheet'!C67,0)</f>
        <v>4149</v>
      </c>
      <c r="E58" s="12">
        <f>IFERROR('Data Sheet'!D67,0)</f>
        <v>4704</v>
      </c>
      <c r="F58" s="12">
        <f>IFERROR('Data Sheet'!E67,0)</f>
        <v>7160</v>
      </c>
      <c r="G58" s="12">
        <f>IFERROR('Data Sheet'!F67,0)</f>
        <v>4505</v>
      </c>
      <c r="H58" s="12">
        <f>IFERROR('Data Sheet'!G67,0)</f>
        <v>4486</v>
      </c>
      <c r="I58" s="12">
        <f>IFERROR('Data Sheet'!H67,0)</f>
        <v>7457</v>
      </c>
      <c r="J58" s="12">
        <f>IFERROR('Data Sheet'!I67,0)</f>
        <v>7134</v>
      </c>
      <c r="K58" s="12">
        <f>IFERROR('Data Sheet'!J67,0)</f>
        <v>7548</v>
      </c>
      <c r="L58" s="12">
        <f>IFERROR('Data Sheet'!K67,0)</f>
        <v>8415</v>
      </c>
      <c r="M58" s="12">
        <f>IFERROR('Data Sheet'!L67,0)</f>
        <v>0</v>
      </c>
    </row>
    <row r="59" spans="2:14" x14ac:dyDescent="0.35">
      <c r="B59" s="8" t="s">
        <v>41</v>
      </c>
      <c r="C59" s="12">
        <f>IFERROR('Data Sheet'!B68,0)</f>
        <v>8321.18</v>
      </c>
      <c r="D59" s="12">
        <f>IFERROR('Data Sheet'!C68,0)</f>
        <v>11395</v>
      </c>
      <c r="E59" s="12">
        <f>IFERROR('Data Sheet'!D68,0)</f>
        <v>12594</v>
      </c>
      <c r="F59" s="12">
        <f>IFERROR('Data Sheet'!E68,0)</f>
        <v>14548</v>
      </c>
      <c r="G59" s="12">
        <f>IFERROR('Data Sheet'!F68,0)</f>
        <v>13773</v>
      </c>
      <c r="H59" s="12">
        <f>IFERROR('Data Sheet'!G68,0)</f>
        <v>14249</v>
      </c>
      <c r="I59" s="12">
        <f>IFERROR('Data Sheet'!H68,0)</f>
        <v>33787</v>
      </c>
      <c r="J59" s="12">
        <f>IFERROR('Data Sheet'!I68,0)</f>
        <v>33135</v>
      </c>
      <c r="K59" s="12">
        <f>IFERROR('Data Sheet'!J68,0)</f>
        <v>37815</v>
      </c>
      <c r="L59" s="12">
        <f>IFERROR('Data Sheet'!K68,0)</f>
        <v>34956</v>
      </c>
      <c r="M59" s="12">
        <f>IFERROR('Data Sheet'!L68,0)</f>
        <v>0</v>
      </c>
    </row>
    <row r="60" spans="2:14" x14ac:dyDescent="0.35">
      <c r="B60" s="8" t="s">
        <v>42</v>
      </c>
      <c r="C60" s="12">
        <f>IFERROR('Data Sheet'!B69,0)</f>
        <v>1020.4</v>
      </c>
      <c r="D60" s="12">
        <f>IFERROR('Data Sheet'!C69,0)</f>
        <v>1485</v>
      </c>
      <c r="E60" s="12">
        <f>IFERROR('Data Sheet'!D69,0)</f>
        <v>1063</v>
      </c>
      <c r="F60" s="12">
        <f>IFERROR('Data Sheet'!E69,0)</f>
        <v>6187</v>
      </c>
      <c r="G60" s="12">
        <f>IFERROR('Data Sheet'!F69,0)</f>
        <v>12003</v>
      </c>
      <c r="H60" s="12">
        <f>IFERROR('Data Sheet'!G69,0)</f>
        <v>12813</v>
      </c>
      <c r="I60" s="12">
        <f>IFERROR('Data Sheet'!H69,0)</f>
        <v>17383</v>
      </c>
      <c r="J60" s="12">
        <f>IFERROR('Data Sheet'!I69,0)</f>
        <v>20714</v>
      </c>
      <c r="K60" s="12">
        <f>IFERROR('Data Sheet'!J69,0)</f>
        <v>12348</v>
      </c>
      <c r="L60" s="12">
        <f>IFERROR('Data Sheet'!K69,0)</f>
        <v>13285</v>
      </c>
      <c r="M60" s="12">
        <f>IFERROR('Data Sheet'!L69,0)</f>
        <v>0</v>
      </c>
    </row>
    <row r="61" spans="2:14" x14ac:dyDescent="0.35">
      <c r="B61" s="20" t="s">
        <v>87</v>
      </c>
      <c r="C61" s="21">
        <f>IFERROR(SUM(C58:C60),0)</f>
        <v>12068.949999999999</v>
      </c>
      <c r="D61" s="21">
        <f t="shared" ref="D61:M61" si="19">IFERROR(SUM(D58:D60),0)</f>
        <v>17029</v>
      </c>
      <c r="E61" s="21">
        <f t="shared" si="19"/>
        <v>18361</v>
      </c>
      <c r="F61" s="21">
        <f t="shared" si="19"/>
        <v>27895</v>
      </c>
      <c r="G61" s="21">
        <f t="shared" si="19"/>
        <v>30281</v>
      </c>
      <c r="H61" s="21">
        <f t="shared" si="19"/>
        <v>31548</v>
      </c>
      <c r="I61" s="21">
        <f t="shared" si="19"/>
        <v>58627</v>
      </c>
      <c r="J61" s="21">
        <f t="shared" si="19"/>
        <v>60983</v>
      </c>
      <c r="K61" s="21">
        <f t="shared" si="19"/>
        <v>57711</v>
      </c>
      <c r="L61" s="21">
        <f t="shared" si="19"/>
        <v>56656</v>
      </c>
      <c r="M61" s="21">
        <f t="shared" si="19"/>
        <v>0</v>
      </c>
    </row>
    <row r="63" spans="2:14" ht="15" thickBot="1" x14ac:dyDescent="0.4">
      <c r="B63" s="23" t="s">
        <v>83</v>
      </c>
      <c r="C63" s="24">
        <f>IFERROR(SUM(C61,C56),0)</f>
        <v>81906.899999999994</v>
      </c>
      <c r="D63" s="24">
        <f t="shared" ref="D63:M63" si="20">IFERROR(SUM(D61,D56),0)</f>
        <v>88005</v>
      </c>
      <c r="E63" s="24">
        <f t="shared" si="20"/>
        <v>91970</v>
      </c>
      <c r="F63" s="24">
        <f t="shared" si="20"/>
        <v>114797</v>
      </c>
      <c r="G63" s="24">
        <f t="shared" si="20"/>
        <v>131820</v>
      </c>
      <c r="H63" s="24">
        <f t="shared" si="20"/>
        <v>148317</v>
      </c>
      <c r="I63" s="24">
        <f t="shared" si="20"/>
        <v>196485</v>
      </c>
      <c r="J63" s="24">
        <f t="shared" si="20"/>
        <v>210539</v>
      </c>
      <c r="K63" s="24">
        <f t="shared" si="20"/>
        <v>227898</v>
      </c>
      <c r="L63" s="24">
        <f t="shared" si="20"/>
        <v>240742</v>
      </c>
      <c r="M63" s="24">
        <f t="shared" si="20"/>
        <v>0</v>
      </c>
    </row>
    <row r="65" spans="1:13" x14ac:dyDescent="0.35">
      <c r="B65" s="16" t="s">
        <v>88</v>
      </c>
      <c r="C65" s="16" t="b">
        <f>C63=C50</f>
        <v>1</v>
      </c>
      <c r="D65" s="16" t="b">
        <f t="shared" ref="D65:M65" si="21">D63=D50</f>
        <v>1</v>
      </c>
      <c r="E65" s="16" t="b">
        <f t="shared" si="21"/>
        <v>1</v>
      </c>
      <c r="F65" s="16" t="b">
        <f t="shared" si="21"/>
        <v>1</v>
      </c>
      <c r="G65" s="16" t="b">
        <f t="shared" si="21"/>
        <v>1</v>
      </c>
      <c r="H65" s="16" t="b">
        <f t="shared" si="21"/>
        <v>1</v>
      </c>
      <c r="I65" s="16" t="b">
        <f t="shared" si="21"/>
        <v>1</v>
      </c>
      <c r="J65" s="16" t="b">
        <f t="shared" si="21"/>
        <v>1</v>
      </c>
      <c r="K65" s="16" t="b">
        <f t="shared" si="21"/>
        <v>1</v>
      </c>
      <c r="L65" s="16" t="b">
        <f t="shared" si="21"/>
        <v>1</v>
      </c>
      <c r="M65" s="16" t="b">
        <f t="shared" si="21"/>
        <v>1</v>
      </c>
    </row>
    <row r="68" spans="1:13" x14ac:dyDescent="0.35">
      <c r="A68" s="17" t="s">
        <v>56</v>
      </c>
      <c r="B68" s="17" t="s">
        <v>117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1:13" x14ac:dyDescent="0.35">
      <c r="B69" s="11" t="s">
        <v>118</v>
      </c>
    </row>
    <row r="70" spans="1:13" x14ac:dyDescent="0.35">
      <c r="B70" s="8" t="s">
        <v>89</v>
      </c>
      <c r="C70" s="12">
        <f>IFERROR('Cash Flow Data'!E4,0)</f>
        <v>6614</v>
      </c>
      <c r="D70" s="12">
        <f>IFERROR('Cash Flow Data'!F4,0)</f>
        <v>11994</v>
      </c>
      <c r="E70" s="12">
        <f>IFERROR('Cash Flow Data'!G4,0)</f>
        <v>14920</v>
      </c>
      <c r="F70" s="12">
        <f>IFERROR('Cash Flow Data'!H4,0)</f>
        <v>18844</v>
      </c>
      <c r="G70" s="12">
        <f>IFERROR('Cash Flow Data'!I4,0)</f>
        <v>12301</v>
      </c>
      <c r="H70" s="12">
        <f>IFERROR('Cash Flow Data'!J4,0)</f>
        <v>19455</v>
      </c>
      <c r="I70" s="12">
        <f>IFERROR('Cash Flow Data'!K4,0)</f>
        <v>38913</v>
      </c>
      <c r="J70" s="12">
        <f>IFERROR('Cash Flow Data'!L4,0)</f>
        <v>20856</v>
      </c>
      <c r="K70" s="12">
        <f>IFERROR('Cash Flow Data'!M4,0)</f>
        <v>28472</v>
      </c>
      <c r="L70" s="12">
        <f>IFERROR('Cash Flow Data'!N4,0)</f>
        <v>23553</v>
      </c>
    </row>
    <row r="71" spans="1:13" x14ac:dyDescent="0.35">
      <c r="B71" s="8" t="s">
        <v>40</v>
      </c>
      <c r="C71" s="12">
        <f>IFERROR('Cash Flow Data'!E5,0)</f>
        <v>-294</v>
      </c>
      <c r="D71" s="12">
        <f>IFERROR('Cash Flow Data'!F5,0)</f>
        <v>-1352</v>
      </c>
      <c r="E71" s="12">
        <f>IFERROR('Cash Flow Data'!G5,0)</f>
        <v>-640</v>
      </c>
      <c r="F71" s="12">
        <f>IFERROR('Cash Flow Data'!H5,0)</f>
        <v>-2203</v>
      </c>
      <c r="G71" s="12">
        <f>IFERROR('Cash Flow Data'!I5,0)</f>
        <v>2458</v>
      </c>
      <c r="H71" s="12">
        <f>IFERROR('Cash Flow Data'!J5,0)</f>
        <v>72</v>
      </c>
      <c r="I71" s="12">
        <f>IFERROR('Cash Flow Data'!K5,0)</f>
        <v>-1884</v>
      </c>
      <c r="J71" s="12">
        <f>IFERROR('Cash Flow Data'!L5,0)</f>
        <v>317</v>
      </c>
      <c r="K71" s="12">
        <f>IFERROR('Cash Flow Data'!M5,0)</f>
        <v>-154</v>
      </c>
      <c r="L71" s="12">
        <f>IFERROR('Cash Flow Data'!N5,0)</f>
        <v>-866</v>
      </c>
    </row>
    <row r="72" spans="1:13" x14ac:dyDescent="0.35">
      <c r="B72" s="8" t="s">
        <v>41</v>
      </c>
      <c r="C72" s="12">
        <f>IFERROR('Cash Flow Data'!E6,0)</f>
        <v>2578</v>
      </c>
      <c r="D72" s="12">
        <f>IFERROR('Cash Flow Data'!F6,0)</f>
        <v>-3065</v>
      </c>
      <c r="E72" s="12">
        <f>IFERROR('Cash Flow Data'!G6,0)</f>
        <v>-1199</v>
      </c>
      <c r="F72" s="12">
        <f>IFERROR('Cash Flow Data'!H6,0)</f>
        <v>-1741</v>
      </c>
      <c r="G72" s="12">
        <f>IFERROR('Cash Flow Data'!I6,0)</f>
        <v>744</v>
      </c>
      <c r="H72" s="12">
        <f>IFERROR('Cash Flow Data'!J6,0)</f>
        <v>-335</v>
      </c>
      <c r="I72" s="12">
        <f>IFERROR('Cash Flow Data'!K6,0)</f>
        <v>-15593</v>
      </c>
      <c r="J72" s="12">
        <f>IFERROR('Cash Flow Data'!L6,0)</f>
        <v>704</v>
      </c>
      <c r="K72" s="12">
        <f>IFERROR('Cash Flow Data'!M6,0)</f>
        <v>-3284</v>
      </c>
      <c r="L72" s="12">
        <f>IFERROR('Cash Flow Data'!N6,0)</f>
        <v>2609</v>
      </c>
    </row>
    <row r="73" spans="1:13" x14ac:dyDescent="0.35">
      <c r="B73" s="8" t="s">
        <v>90</v>
      </c>
      <c r="C73" s="12">
        <f>IFERROR('Cash Flow Data'!E7,0)</f>
        <v>-2143</v>
      </c>
      <c r="D73" s="12">
        <f>IFERROR('Cash Flow Data'!F7,0)</f>
        <v>1561</v>
      </c>
      <c r="E73" s="12">
        <f>IFERROR('Cash Flow Data'!G7,0)</f>
        <v>2514</v>
      </c>
      <c r="F73" s="12">
        <f>IFERROR('Cash Flow Data'!H7,0)</f>
        <v>3406</v>
      </c>
      <c r="G73" s="12">
        <f>IFERROR('Cash Flow Data'!I7,0)</f>
        <v>183</v>
      </c>
      <c r="H73" s="12">
        <f>IFERROR('Cash Flow Data'!J7,0)</f>
        <v>1306</v>
      </c>
      <c r="I73" s="12">
        <f>IFERROR('Cash Flow Data'!K7,0)</f>
        <v>13013</v>
      </c>
      <c r="J73" s="12">
        <f>IFERROR('Cash Flow Data'!L7,0)</f>
        <v>4965</v>
      </c>
      <c r="K73" s="12">
        <f>IFERROR('Cash Flow Data'!M7,0)</f>
        <v>-7235</v>
      </c>
      <c r="L73" s="12">
        <f>IFERROR('Cash Flow Data'!N7,0)</f>
        <v>-1096</v>
      </c>
    </row>
    <row r="74" spans="1:13" x14ac:dyDescent="0.35">
      <c r="B74" s="8" t="s">
        <v>91</v>
      </c>
      <c r="C74" s="12">
        <f>IFERROR('Cash Flow Data'!E8,0)</f>
        <v>0</v>
      </c>
      <c r="D74" s="12">
        <f>IFERROR('Cash Flow Data'!F8,0)</f>
        <v>0</v>
      </c>
      <c r="E74" s="12">
        <f>IFERROR('Cash Flow Data'!G8,0)</f>
        <v>0</v>
      </c>
      <c r="F74" s="12">
        <f>IFERROR('Cash Flow Data'!H8,0)</f>
        <v>0</v>
      </c>
      <c r="G74" s="12">
        <f>IFERROR('Cash Flow Data'!I8,0)</f>
        <v>0</v>
      </c>
      <c r="H74" s="12">
        <f>IFERROR('Cash Flow Data'!J8,0)</f>
        <v>0</v>
      </c>
      <c r="I74" s="12">
        <f>IFERROR('Cash Flow Data'!K8,0)</f>
        <v>0</v>
      </c>
      <c r="J74" s="12">
        <f>IFERROR('Cash Flow Data'!L8,0)</f>
        <v>0</v>
      </c>
      <c r="K74" s="12">
        <f>IFERROR('Cash Flow Data'!M8,0)</f>
        <v>0</v>
      </c>
      <c r="L74" s="12">
        <f>IFERROR('Cash Flow Data'!N8,0)</f>
        <v>0</v>
      </c>
    </row>
    <row r="75" spans="1:13" x14ac:dyDescent="0.35">
      <c r="B75" s="8" t="s">
        <v>92</v>
      </c>
      <c r="C75" s="12">
        <f>IFERROR('Cash Flow Data'!E9,0)</f>
        <v>351</v>
      </c>
      <c r="D75" s="12">
        <f>IFERROR('Cash Flow Data'!F9,0)</f>
        <v>-1013</v>
      </c>
      <c r="E75" s="12">
        <f>IFERROR('Cash Flow Data'!G9,0)</f>
        <v>-1776</v>
      </c>
      <c r="F75" s="12">
        <f>IFERROR('Cash Flow Data'!H9,0)</f>
        <v>-1043</v>
      </c>
      <c r="G75" s="12">
        <f>IFERROR('Cash Flow Data'!I9,0)</f>
        <v>-1746</v>
      </c>
      <c r="H75" s="12">
        <f>IFERROR('Cash Flow Data'!J9,0)</f>
        <v>221</v>
      </c>
      <c r="I75" s="12">
        <f>IFERROR('Cash Flow Data'!K9,0)</f>
        <v>-2800</v>
      </c>
      <c r="J75" s="12">
        <f>IFERROR('Cash Flow Data'!L9,0)</f>
        <v>-2881</v>
      </c>
      <c r="K75" s="12">
        <f>IFERROR('Cash Flow Data'!M9,0)</f>
        <v>-2942</v>
      </c>
      <c r="L75" s="12">
        <f>IFERROR('Cash Flow Data'!N9,0)</f>
        <v>-1328</v>
      </c>
    </row>
    <row r="76" spans="1:13" x14ac:dyDescent="0.35">
      <c r="B76" s="55" t="s">
        <v>93</v>
      </c>
      <c r="C76" s="56">
        <f>IFERROR('Cash Flow Data'!E10,0)</f>
        <v>491</v>
      </c>
      <c r="D76" s="56">
        <f>IFERROR('Cash Flow Data'!F10,0)</f>
        <v>-3869</v>
      </c>
      <c r="E76" s="56">
        <f>IFERROR('Cash Flow Data'!G10,0)</f>
        <v>-1101</v>
      </c>
      <c r="F76" s="56">
        <f>IFERROR('Cash Flow Data'!H10,0)</f>
        <v>-1581</v>
      </c>
      <c r="G76" s="56">
        <f>IFERROR('Cash Flow Data'!I10,0)</f>
        <v>1639</v>
      </c>
      <c r="H76" s="56">
        <f>IFERROR('Cash Flow Data'!J10,0)</f>
        <v>1264</v>
      </c>
      <c r="I76" s="56">
        <f>IFERROR('Cash Flow Data'!K10,0)</f>
        <v>-7264</v>
      </c>
      <c r="J76" s="56">
        <f>IFERROR('Cash Flow Data'!L10,0)</f>
        <v>3105</v>
      </c>
      <c r="K76" s="56">
        <f>IFERROR('Cash Flow Data'!M10,0)</f>
        <v>-13615</v>
      </c>
      <c r="L76" s="56">
        <f>IFERROR('Cash Flow Data'!N10,0)</f>
        <v>-681</v>
      </c>
    </row>
    <row r="77" spans="1:13" x14ac:dyDescent="0.35">
      <c r="B77" s="8" t="s">
        <v>94</v>
      </c>
      <c r="C77" s="12">
        <f>IFERROR('Cash Flow Data'!E11,0)</f>
        <v>-207</v>
      </c>
      <c r="D77" s="12">
        <f>IFERROR('Cash Flow Data'!F11,0)</f>
        <v>-237</v>
      </c>
      <c r="E77" s="12">
        <f>IFERROR('Cash Flow Data'!G11,0)</f>
        <v>-1440</v>
      </c>
      <c r="F77" s="12">
        <f>IFERROR('Cash Flow Data'!H11,0)</f>
        <v>-2630</v>
      </c>
      <c r="G77" s="12">
        <f>IFERROR('Cash Flow Data'!I11,0)</f>
        <v>-1155</v>
      </c>
      <c r="H77" s="12">
        <f>IFERROR('Cash Flow Data'!J11,0)</f>
        <v>-1930</v>
      </c>
      <c r="I77" s="12">
        <f>IFERROR('Cash Flow Data'!K11,0)</f>
        <v>-5379</v>
      </c>
      <c r="J77" s="12">
        <f>IFERROR('Cash Flow Data'!L11,0)</f>
        <v>-638</v>
      </c>
      <c r="K77" s="12">
        <f>IFERROR('Cash Flow Data'!M11,0)</f>
        <v>-2779</v>
      </c>
      <c r="L77" s="12">
        <f>IFERROR('Cash Flow Data'!N11,0)</f>
        <v>-1973</v>
      </c>
    </row>
    <row r="78" spans="1:13" x14ac:dyDescent="0.35">
      <c r="B78" s="20" t="s">
        <v>119</v>
      </c>
      <c r="C78" s="21">
        <f>IFERROR(SUM(C70:C75)+C77,0)</f>
        <v>6899</v>
      </c>
      <c r="D78" s="21">
        <f t="shared" ref="D78:L78" si="22">IFERROR(SUM(D70:D75)+D77,0)</f>
        <v>7888</v>
      </c>
      <c r="E78" s="21">
        <f t="shared" si="22"/>
        <v>12379</v>
      </c>
      <c r="F78" s="21">
        <f t="shared" si="22"/>
        <v>14633</v>
      </c>
      <c r="G78" s="21">
        <f t="shared" si="22"/>
        <v>12785</v>
      </c>
      <c r="H78" s="21">
        <f t="shared" si="22"/>
        <v>18789</v>
      </c>
      <c r="I78" s="21">
        <f t="shared" si="22"/>
        <v>26270</v>
      </c>
      <c r="J78" s="21">
        <f t="shared" si="22"/>
        <v>23323</v>
      </c>
      <c r="K78" s="21">
        <f t="shared" si="22"/>
        <v>12078</v>
      </c>
      <c r="L78" s="21">
        <f t="shared" si="22"/>
        <v>20899</v>
      </c>
      <c r="M78" s="22"/>
    </row>
    <row r="80" spans="1:13" x14ac:dyDescent="0.35">
      <c r="B80" s="11" t="s">
        <v>121</v>
      </c>
    </row>
    <row r="81" spans="2:12" x14ac:dyDescent="0.35">
      <c r="B81" s="8" t="s">
        <v>95</v>
      </c>
      <c r="C81" s="12">
        <f>IFERROR('Cash Flow Data'!E13,0)</f>
        <v>-5166</v>
      </c>
      <c r="D81" s="12">
        <f>IFERROR('Cash Flow Data'!F13,0)</f>
        <v>-4435</v>
      </c>
      <c r="E81" s="12">
        <f>IFERROR('Cash Flow Data'!G13,0)</f>
        <v>-4736</v>
      </c>
      <c r="F81" s="12">
        <f>IFERROR('Cash Flow Data'!H13,0)</f>
        <v>-10206</v>
      </c>
      <c r="G81" s="12">
        <f>IFERROR('Cash Flow Data'!I13,0)</f>
        <v>-12810</v>
      </c>
      <c r="H81" s="12">
        <f>IFERROR('Cash Flow Data'!J13,0)</f>
        <v>-9258</v>
      </c>
      <c r="I81" s="12">
        <f>IFERROR('Cash Flow Data'!K13,0)</f>
        <v>-10091</v>
      </c>
      <c r="J81" s="12">
        <f>IFERROR('Cash Flow Data'!L13,0)</f>
        <v>-14784</v>
      </c>
      <c r="K81" s="12">
        <f>IFERROR('Cash Flow Data'!M13,0)</f>
        <v>-15801</v>
      </c>
      <c r="L81" s="12">
        <f>IFERROR('Cash Flow Data'!N13,0)</f>
        <v>-12694</v>
      </c>
    </row>
    <row r="82" spans="2:12" x14ac:dyDescent="0.35">
      <c r="B82" s="8" t="s">
        <v>96</v>
      </c>
      <c r="C82" s="12">
        <f>IFERROR('Cash Flow Data'!E14,0)</f>
        <v>4</v>
      </c>
      <c r="D82" s="12">
        <f>IFERROR('Cash Flow Data'!F14,0)</f>
        <v>45</v>
      </c>
      <c r="E82" s="12">
        <f>IFERROR('Cash Flow Data'!G14,0)</f>
        <v>60</v>
      </c>
      <c r="F82" s="12">
        <f>IFERROR('Cash Flow Data'!H14,0)</f>
        <v>44</v>
      </c>
      <c r="G82" s="12">
        <f>IFERROR('Cash Flow Data'!I14,0)</f>
        <v>43</v>
      </c>
      <c r="H82" s="12">
        <f>IFERROR('Cash Flow Data'!J14,0)</f>
        <v>51</v>
      </c>
      <c r="I82" s="12">
        <f>IFERROR('Cash Flow Data'!K14,0)</f>
        <v>43</v>
      </c>
      <c r="J82" s="12">
        <f>IFERROR('Cash Flow Data'!L14,0)</f>
        <v>35</v>
      </c>
      <c r="K82" s="12">
        <f>IFERROR('Cash Flow Data'!M14,0)</f>
        <v>254</v>
      </c>
      <c r="L82" s="12">
        <f>IFERROR('Cash Flow Data'!N14,0)</f>
        <v>59</v>
      </c>
    </row>
    <row r="83" spans="2:12" x14ac:dyDescent="0.35">
      <c r="B83" s="8" t="s">
        <v>97</v>
      </c>
      <c r="C83" s="12">
        <f>IFERROR('Cash Flow Data'!E15,0)</f>
        <v>0</v>
      </c>
      <c r="D83" s="12">
        <f>IFERROR('Cash Flow Data'!F15,0)</f>
        <v>-2784</v>
      </c>
      <c r="E83" s="12">
        <f>IFERROR('Cash Flow Data'!G15,0)</f>
        <v>-8111</v>
      </c>
      <c r="F83" s="12">
        <f>IFERROR('Cash Flow Data'!H15,0)</f>
        <v>-8340</v>
      </c>
      <c r="G83" s="12">
        <f>IFERROR('Cash Flow Data'!I15,0)</f>
        <v>-762</v>
      </c>
      <c r="H83" s="12">
        <f>IFERROR('Cash Flow Data'!J15,0)</f>
        <v>-606</v>
      </c>
      <c r="I83" s="12">
        <f>IFERROR('Cash Flow Data'!K15,0)</f>
        <v>-4440</v>
      </c>
      <c r="J83" s="12">
        <f>IFERROR('Cash Flow Data'!L15,0)</f>
        <v>0</v>
      </c>
      <c r="K83" s="12">
        <f>IFERROR('Cash Flow Data'!M15,0)</f>
        <v>-3584</v>
      </c>
      <c r="L83" s="12">
        <f>IFERROR('Cash Flow Data'!N15,0)</f>
        <v>-12127</v>
      </c>
    </row>
    <row r="84" spans="2:12" x14ac:dyDescent="0.35">
      <c r="B84" s="8" t="s">
        <v>98</v>
      </c>
      <c r="C84" s="12">
        <f>IFERROR('Cash Flow Data'!E16,0)</f>
        <v>0</v>
      </c>
      <c r="D84" s="12">
        <f>IFERROR('Cash Flow Data'!F16,0)</f>
        <v>2490</v>
      </c>
      <c r="E84" s="12">
        <f>IFERROR('Cash Flow Data'!G16,0)</f>
        <v>8120</v>
      </c>
      <c r="F84" s="12">
        <f>IFERROR('Cash Flow Data'!H16,0)</f>
        <v>8591</v>
      </c>
      <c r="G84" s="12">
        <f>IFERROR('Cash Flow Data'!I16,0)</f>
        <v>847</v>
      </c>
      <c r="H84" s="12">
        <f>IFERROR('Cash Flow Data'!J16,0)</f>
        <v>612</v>
      </c>
      <c r="I84" s="12">
        <f>IFERROR('Cash Flow Data'!K16,0)</f>
        <v>4153</v>
      </c>
      <c r="J84" s="12">
        <f>IFERROR('Cash Flow Data'!L16,0)</f>
        <v>5</v>
      </c>
      <c r="K84" s="12">
        <f>IFERROR('Cash Flow Data'!M16,0)</f>
        <v>3635</v>
      </c>
      <c r="L84" s="12">
        <f>IFERROR('Cash Flow Data'!N16,0)</f>
        <v>6274</v>
      </c>
    </row>
    <row r="85" spans="2:12" x14ac:dyDescent="0.35">
      <c r="B85" s="8" t="s">
        <v>99</v>
      </c>
      <c r="C85" s="12">
        <f>IFERROR('Cash Flow Data'!E17,0)</f>
        <v>41</v>
      </c>
      <c r="D85" s="12">
        <f>IFERROR('Cash Flow Data'!F17,0)</f>
        <v>98</v>
      </c>
      <c r="E85" s="12">
        <f>IFERROR('Cash Flow Data'!G17,0)</f>
        <v>121</v>
      </c>
      <c r="F85" s="12">
        <f>IFERROR('Cash Flow Data'!H17,0)</f>
        <v>158</v>
      </c>
      <c r="G85" s="12">
        <f>IFERROR('Cash Flow Data'!I17,0)</f>
        <v>503</v>
      </c>
      <c r="H85" s="12">
        <f>IFERROR('Cash Flow Data'!J17,0)</f>
        <v>619</v>
      </c>
      <c r="I85" s="12">
        <f>IFERROR('Cash Flow Data'!K17,0)</f>
        <v>591</v>
      </c>
      <c r="J85" s="12">
        <f>IFERROR('Cash Flow Data'!L17,0)</f>
        <v>600</v>
      </c>
      <c r="K85" s="12">
        <f>IFERROR('Cash Flow Data'!M17,0)</f>
        <v>899</v>
      </c>
      <c r="L85" s="12">
        <f>IFERROR('Cash Flow Data'!N17,0)</f>
        <v>660</v>
      </c>
    </row>
    <row r="86" spans="2:12" x14ac:dyDescent="0.35">
      <c r="B86" s="8" t="s">
        <v>100</v>
      </c>
      <c r="C86" s="12">
        <f>IFERROR('Cash Flow Data'!E18,0)</f>
        <v>20</v>
      </c>
      <c r="D86" s="12">
        <f>IFERROR('Cash Flow Data'!F18,0)</f>
        <v>20</v>
      </c>
      <c r="E86" s="12">
        <f>IFERROR('Cash Flow Data'!G18,0)</f>
        <v>5</v>
      </c>
      <c r="F86" s="12">
        <f>IFERROR('Cash Flow Data'!H18,0)</f>
        <v>0</v>
      </c>
      <c r="G86" s="12">
        <f>IFERROR('Cash Flow Data'!I18,0)</f>
        <v>10</v>
      </c>
      <c r="H86" s="12">
        <f>IFERROR('Cash Flow Data'!J18,0)</f>
        <v>11</v>
      </c>
      <c r="I86" s="12">
        <f>IFERROR('Cash Flow Data'!K18,0)</f>
        <v>25</v>
      </c>
      <c r="J86" s="12">
        <f>IFERROR('Cash Flow Data'!L18,0)</f>
        <v>21</v>
      </c>
      <c r="K86" s="12">
        <f>IFERROR('Cash Flow Data'!M18,0)</f>
        <v>21</v>
      </c>
      <c r="L86" s="12">
        <f>IFERROR('Cash Flow Data'!N18,0)</f>
        <v>24</v>
      </c>
    </row>
    <row r="87" spans="2:12" x14ac:dyDescent="0.35">
      <c r="B87" s="8" t="s">
        <v>101</v>
      </c>
      <c r="C87" s="12">
        <f>IFERROR('Cash Flow Data'!E19,0)</f>
        <v>-9</v>
      </c>
      <c r="D87" s="12">
        <f>IFERROR('Cash Flow Data'!F19,0)</f>
        <v>-37</v>
      </c>
      <c r="E87" s="12">
        <f>IFERROR('Cash Flow Data'!G19,0)</f>
        <v>-46</v>
      </c>
      <c r="F87" s="12">
        <f>IFERROR('Cash Flow Data'!H19,0)</f>
        <v>-413</v>
      </c>
      <c r="G87" s="12">
        <f>IFERROR('Cash Flow Data'!I19,0)</f>
        <v>0</v>
      </c>
      <c r="H87" s="12">
        <f>IFERROR('Cash Flow Data'!J19,0)</f>
        <v>-5087</v>
      </c>
      <c r="I87" s="12">
        <f>IFERROR('Cash Flow Data'!K19,0)</f>
        <v>-364</v>
      </c>
      <c r="J87" s="12">
        <f>IFERROR('Cash Flow Data'!L19,0)</f>
        <v>-244</v>
      </c>
      <c r="K87" s="12">
        <f>IFERROR('Cash Flow Data'!M19,0)</f>
        <v>-396</v>
      </c>
      <c r="L87" s="12">
        <f>IFERROR('Cash Flow Data'!N19,0)</f>
        <v>-1880</v>
      </c>
    </row>
    <row r="88" spans="2:12" x14ac:dyDescent="0.35">
      <c r="B88" s="8" t="s">
        <v>102</v>
      </c>
      <c r="C88" s="12">
        <f>IFERROR('Cash Flow Data'!E20,0)</f>
        <v>0</v>
      </c>
      <c r="D88" s="12">
        <f>IFERROR('Cash Flow Data'!F20,0)</f>
        <v>0</v>
      </c>
      <c r="E88" s="12">
        <f>IFERROR('Cash Flow Data'!G20,0)</f>
        <v>0</v>
      </c>
      <c r="F88" s="12">
        <f>IFERROR('Cash Flow Data'!H20,0)</f>
        <v>0</v>
      </c>
      <c r="G88" s="12">
        <f>IFERROR('Cash Flow Data'!I20,0)</f>
        <v>164</v>
      </c>
      <c r="H88" s="12">
        <f>IFERROR('Cash Flow Data'!J20,0)</f>
        <v>0</v>
      </c>
      <c r="I88" s="12">
        <f>IFERROR('Cash Flow Data'!K20,0)</f>
        <v>0</v>
      </c>
      <c r="J88" s="12">
        <f>IFERROR('Cash Flow Data'!L20,0)</f>
        <v>0</v>
      </c>
      <c r="K88" s="12">
        <f>IFERROR('Cash Flow Data'!M20,0)</f>
        <v>0</v>
      </c>
      <c r="L88" s="12">
        <f>IFERROR('Cash Flow Data'!N20,0)</f>
        <v>0</v>
      </c>
    </row>
    <row r="89" spans="2:12" x14ac:dyDescent="0.35">
      <c r="B89" s="8" t="s">
        <v>103</v>
      </c>
      <c r="C89" s="12">
        <f>IFERROR('Cash Flow Data'!E21,0)</f>
        <v>0</v>
      </c>
      <c r="D89" s="12">
        <f>IFERROR('Cash Flow Data'!F21,0)</f>
        <v>-110</v>
      </c>
      <c r="E89" s="12">
        <f>IFERROR('Cash Flow Data'!G21,0)</f>
        <v>-315</v>
      </c>
      <c r="F89" s="12">
        <f>IFERROR('Cash Flow Data'!H21,0)</f>
        <v>-1014</v>
      </c>
      <c r="G89" s="12">
        <f>IFERROR('Cash Flow Data'!I21,0)</f>
        <v>-64</v>
      </c>
      <c r="H89" s="12">
        <f>IFERROR('Cash Flow Data'!J21,0)</f>
        <v>-1575</v>
      </c>
      <c r="I89" s="12">
        <f>IFERROR('Cash Flow Data'!K21,0)</f>
        <v>-20</v>
      </c>
      <c r="J89" s="12">
        <f>IFERROR('Cash Flow Data'!L21,0)</f>
        <v>0</v>
      </c>
      <c r="K89" s="12">
        <f>IFERROR('Cash Flow Data'!M21,0)</f>
        <v>-630</v>
      </c>
      <c r="L89" s="12">
        <f>IFERROR('Cash Flow Data'!N21,0)</f>
        <v>0</v>
      </c>
    </row>
    <row r="90" spans="2:12" x14ac:dyDescent="0.35">
      <c r="B90" s="8" t="s">
        <v>104</v>
      </c>
      <c r="C90" s="12">
        <f>IFERROR('Cash Flow Data'!E22,0)</f>
        <v>0</v>
      </c>
      <c r="D90" s="12">
        <f>IFERROR('Cash Flow Data'!F22,0)</f>
        <v>0</v>
      </c>
      <c r="E90" s="12">
        <f>IFERROR('Cash Flow Data'!G22,0)</f>
        <v>0</v>
      </c>
      <c r="F90" s="12">
        <f>IFERROR('Cash Flow Data'!H22,0)</f>
        <v>0</v>
      </c>
      <c r="G90" s="12">
        <f>IFERROR('Cash Flow Data'!I22,0)</f>
        <v>0</v>
      </c>
      <c r="H90" s="12">
        <f>IFERROR('Cash Flow Data'!J22,0)</f>
        <v>-293</v>
      </c>
      <c r="I90" s="12">
        <f>IFERROR('Cash Flow Data'!K22,0)</f>
        <v>-149</v>
      </c>
      <c r="J90" s="12">
        <f>IFERROR('Cash Flow Data'!L22,0)</f>
        <v>0</v>
      </c>
      <c r="K90" s="12">
        <f>IFERROR('Cash Flow Data'!M22,0)</f>
        <v>0</v>
      </c>
      <c r="L90" s="12">
        <f>IFERROR('Cash Flow Data'!N22,0)</f>
        <v>0</v>
      </c>
    </row>
    <row r="91" spans="2:12" x14ac:dyDescent="0.35">
      <c r="B91" s="8" t="s">
        <v>105</v>
      </c>
      <c r="C91" s="12">
        <f>IFERROR('Cash Flow Data'!E23,0)</f>
        <v>1252</v>
      </c>
      <c r="D91" s="12">
        <f>IFERROR('Cash Flow Data'!F23,0)</f>
        <v>-381</v>
      </c>
      <c r="E91" s="12">
        <f>IFERROR('Cash Flow Data'!G23,0)</f>
        <v>373</v>
      </c>
      <c r="F91" s="12">
        <f>IFERROR('Cash Flow Data'!H23,0)</f>
        <v>-207</v>
      </c>
      <c r="G91" s="12">
        <f>IFERROR('Cash Flow Data'!I23,0)</f>
        <v>-7520</v>
      </c>
      <c r="H91" s="12">
        <f>IFERROR('Cash Flow Data'!J23,0)</f>
        <v>7824</v>
      </c>
      <c r="I91" s="12">
        <f>IFERROR('Cash Flow Data'!K23,0)</f>
        <v>-4496</v>
      </c>
      <c r="J91" s="12">
        <f>IFERROR('Cash Flow Data'!L23,0)</f>
        <v>3637</v>
      </c>
      <c r="K91" s="12">
        <f>IFERROR('Cash Flow Data'!M23,0)</f>
        <v>1135</v>
      </c>
      <c r="L91" s="12">
        <f>IFERROR('Cash Flow Data'!N23,0)</f>
        <v>2687</v>
      </c>
    </row>
    <row r="92" spans="2:12" x14ac:dyDescent="0.35">
      <c r="B92" s="20" t="s">
        <v>120</v>
      </c>
      <c r="C92" s="21">
        <f>IFERROR(SUM(C81:C91),0)</f>
        <v>-3858</v>
      </c>
      <c r="D92" s="21">
        <f t="shared" ref="D92:L92" si="23">IFERROR(SUM(D81:D91),0)</f>
        <v>-5094</v>
      </c>
      <c r="E92" s="21">
        <f t="shared" si="23"/>
        <v>-4529</v>
      </c>
      <c r="F92" s="21">
        <f t="shared" si="23"/>
        <v>-11387</v>
      </c>
      <c r="G92" s="21">
        <f t="shared" si="23"/>
        <v>-19589</v>
      </c>
      <c r="H92" s="21">
        <f t="shared" si="23"/>
        <v>-7702</v>
      </c>
      <c r="I92" s="21">
        <f t="shared" si="23"/>
        <v>-14748</v>
      </c>
      <c r="J92" s="21">
        <f t="shared" si="23"/>
        <v>-10730</v>
      </c>
      <c r="K92" s="21">
        <f t="shared" si="23"/>
        <v>-14467</v>
      </c>
      <c r="L92" s="21">
        <f t="shared" si="23"/>
        <v>-16997</v>
      </c>
    </row>
    <row r="94" spans="2:12" x14ac:dyDescent="0.35">
      <c r="B94" s="11" t="s">
        <v>122</v>
      </c>
    </row>
    <row r="95" spans="2:12" x14ac:dyDescent="0.35">
      <c r="B95" s="8" t="s">
        <v>106</v>
      </c>
      <c r="C95" s="12">
        <f>IFERROR('Cash Flow Data'!E25,0)</f>
        <v>0</v>
      </c>
      <c r="D95" s="12">
        <f>IFERROR('Cash Flow Data'!F25,0)</f>
        <v>57</v>
      </c>
      <c r="E95" s="12">
        <f>IFERROR('Cash Flow Data'!G25,0)</f>
        <v>49</v>
      </c>
      <c r="F95" s="12">
        <f>IFERROR('Cash Flow Data'!H25,0)</f>
        <v>0</v>
      </c>
      <c r="G95" s="12">
        <f>IFERROR('Cash Flow Data'!I25,0)</f>
        <v>107</v>
      </c>
      <c r="H95" s="12">
        <f>IFERROR('Cash Flow Data'!J25,0)</f>
        <v>39</v>
      </c>
      <c r="I95" s="12">
        <f>IFERROR('Cash Flow Data'!K25,0)</f>
        <v>72</v>
      </c>
      <c r="J95" s="12">
        <f>IFERROR('Cash Flow Data'!L25,0)</f>
        <v>59</v>
      </c>
      <c r="K95" s="12">
        <f>IFERROR('Cash Flow Data'!M25,0)</f>
        <v>6</v>
      </c>
      <c r="L95" s="12">
        <f>IFERROR('Cash Flow Data'!N25,0)</f>
        <v>0</v>
      </c>
    </row>
    <row r="96" spans="2:12" x14ac:dyDescent="0.35">
      <c r="B96" s="8" t="s">
        <v>107</v>
      </c>
      <c r="C96" s="12">
        <f>IFERROR('Cash Flow Data'!E26,0)</f>
        <v>0</v>
      </c>
      <c r="D96" s="12">
        <f>IFERROR('Cash Flow Data'!F26,0)</f>
        <v>0</v>
      </c>
      <c r="E96" s="12">
        <f>IFERROR('Cash Flow Data'!G26,0)</f>
        <v>0</v>
      </c>
      <c r="F96" s="12">
        <f>IFERROR('Cash Flow Data'!H26,0)</f>
        <v>0</v>
      </c>
      <c r="G96" s="12">
        <f>IFERROR('Cash Flow Data'!I26,0)</f>
        <v>-572</v>
      </c>
      <c r="H96" s="12">
        <f>IFERROR('Cash Flow Data'!J26,0)</f>
        <v>0</v>
      </c>
      <c r="I96" s="12">
        <f>IFERROR('Cash Flow Data'!K26,0)</f>
        <v>0</v>
      </c>
      <c r="J96" s="12">
        <f>IFERROR('Cash Flow Data'!L26,0)</f>
        <v>0</v>
      </c>
      <c r="K96" s="12">
        <f>IFERROR('Cash Flow Data'!M26,0)</f>
        <v>0</v>
      </c>
      <c r="L96" s="12">
        <f>IFERROR('Cash Flow Data'!N26,0)</f>
        <v>0</v>
      </c>
    </row>
    <row r="97" spans="2:12" x14ac:dyDescent="0.35">
      <c r="B97" s="8" t="s">
        <v>108</v>
      </c>
      <c r="C97" s="12">
        <f>IFERROR('Cash Flow Data'!E27,0)</f>
        <v>1197</v>
      </c>
      <c r="D97" s="12">
        <f>IFERROR('Cash Flow Data'!F27,0)</f>
        <v>7101</v>
      </c>
      <c r="E97" s="12">
        <f>IFERROR('Cash Flow Data'!G27,0)</f>
        <v>6209</v>
      </c>
      <c r="F97" s="12">
        <f>IFERROR('Cash Flow Data'!H27,0)</f>
        <v>13154</v>
      </c>
      <c r="G97" s="12">
        <f>IFERROR('Cash Flow Data'!I27,0)</f>
        <v>22754</v>
      </c>
      <c r="H97" s="12">
        <f>IFERROR('Cash Flow Data'!J27,0)</f>
        <v>15897</v>
      </c>
      <c r="I97" s="12">
        <f>IFERROR('Cash Flow Data'!K27,0)</f>
        <v>17043</v>
      </c>
      <c r="J97" s="12">
        <f>IFERROR('Cash Flow Data'!L27,0)</f>
        <v>19742</v>
      </c>
      <c r="K97" s="12">
        <f>IFERROR('Cash Flow Data'!M27,0)</f>
        <v>20858</v>
      </c>
      <c r="L97" s="12">
        <f>IFERROR('Cash Flow Data'!N27,0)</f>
        <v>28243</v>
      </c>
    </row>
    <row r="98" spans="2:12" x14ac:dyDescent="0.35">
      <c r="B98" s="8" t="s">
        <v>109</v>
      </c>
      <c r="C98" s="12">
        <f>IFERROR('Cash Flow Data'!E28,0)</f>
        <v>0</v>
      </c>
      <c r="D98" s="12">
        <f>IFERROR('Cash Flow Data'!F28,0)</f>
        <v>-5890</v>
      </c>
      <c r="E98" s="12">
        <f>IFERROR('Cash Flow Data'!G28,0)</f>
        <v>-10001</v>
      </c>
      <c r="F98" s="12">
        <f>IFERROR('Cash Flow Data'!H28,0)</f>
        <v>-6273</v>
      </c>
      <c r="G98" s="12">
        <f>IFERROR('Cash Flow Data'!I28,0)</f>
        <v>-11107</v>
      </c>
      <c r="H98" s="12">
        <f>IFERROR('Cash Flow Data'!J28,0)</f>
        <v>-13888</v>
      </c>
      <c r="I98" s="12">
        <f>IFERROR('Cash Flow Data'!K28,0)</f>
        <v>-24091</v>
      </c>
      <c r="J98" s="12">
        <f>IFERROR('Cash Flow Data'!L28,0)</f>
        <v>-14158</v>
      </c>
      <c r="K98" s="12">
        <f>IFERROR('Cash Flow Data'!M28,0)</f>
        <v>-16328</v>
      </c>
      <c r="L98" s="12">
        <f>IFERROR('Cash Flow Data'!N28,0)</f>
        <v>-18758</v>
      </c>
    </row>
    <row r="99" spans="2:12" x14ac:dyDescent="0.35">
      <c r="B99" s="8" t="s">
        <v>110</v>
      </c>
      <c r="C99" s="12">
        <f>IFERROR('Cash Flow Data'!E29,0)</f>
        <v>-3125</v>
      </c>
      <c r="D99" s="12">
        <f>IFERROR('Cash Flow Data'!F29,0)</f>
        <v>-3569</v>
      </c>
      <c r="E99" s="12">
        <f>IFERROR('Cash Flow Data'!G29,0)</f>
        <v>-3511</v>
      </c>
      <c r="F99" s="12">
        <f>IFERROR('Cash Flow Data'!H29,0)</f>
        <v>-3815</v>
      </c>
      <c r="G99" s="12">
        <f>IFERROR('Cash Flow Data'!I29,0)</f>
        <v>-4520</v>
      </c>
      <c r="H99" s="12">
        <f>IFERROR('Cash Flow Data'!J29,0)</f>
        <v>-4340</v>
      </c>
      <c r="I99" s="12">
        <f>IFERROR('Cash Flow Data'!K29,0)</f>
        <v>-5102</v>
      </c>
      <c r="J99" s="12">
        <f>IFERROR('Cash Flow Data'!L29,0)</f>
        <v>-6902</v>
      </c>
      <c r="K99" s="12">
        <f>IFERROR('Cash Flow Data'!M29,0)</f>
        <v>-8087</v>
      </c>
      <c r="L99" s="12">
        <f>IFERROR('Cash Flow Data'!N29,0)</f>
        <v>-8835</v>
      </c>
    </row>
    <row r="100" spans="2:12" x14ac:dyDescent="0.35">
      <c r="B100" s="8" t="s">
        <v>111</v>
      </c>
      <c r="C100" s="12">
        <f>IFERROR('Cash Flow Data'!E30,0)</f>
        <v>-320</v>
      </c>
      <c r="D100" s="12">
        <f>IFERROR('Cash Flow Data'!F30,0)</f>
        <v>-218</v>
      </c>
      <c r="E100" s="12">
        <f>IFERROR('Cash Flow Data'!G30,0)</f>
        <v>-655</v>
      </c>
      <c r="F100" s="12">
        <f>IFERROR('Cash Flow Data'!H30,0)</f>
        <v>-933</v>
      </c>
      <c r="G100" s="12">
        <f>IFERROR('Cash Flow Data'!I30,0)</f>
        <v>-1195</v>
      </c>
      <c r="H100" s="12">
        <f>IFERROR('Cash Flow Data'!J30,0)</f>
        <v>-483</v>
      </c>
      <c r="I100" s="12">
        <f>IFERROR('Cash Flow Data'!K30,0)</f>
        <v>-1571</v>
      </c>
      <c r="J100" s="12">
        <f>IFERROR('Cash Flow Data'!L30,0)</f>
        <v>-4194</v>
      </c>
      <c r="K100" s="12">
        <f>IFERROR('Cash Flow Data'!M30,0)</f>
        <v>-822</v>
      </c>
      <c r="L100" s="12">
        <f>IFERROR('Cash Flow Data'!N30,0)</f>
        <v>-1785</v>
      </c>
    </row>
    <row r="101" spans="2:12" x14ac:dyDescent="0.35">
      <c r="B101" s="8" t="s">
        <v>112</v>
      </c>
      <c r="C101" s="12">
        <f>IFERROR('Cash Flow Data'!E31,0)</f>
        <v>-187</v>
      </c>
      <c r="D101" s="12">
        <f>IFERROR('Cash Flow Data'!F31,0)</f>
        <v>-186</v>
      </c>
      <c r="E101" s="12">
        <f>IFERROR('Cash Flow Data'!G31,0)</f>
        <v>-200</v>
      </c>
      <c r="F101" s="12">
        <f>IFERROR('Cash Flow Data'!H31,0)</f>
        <v>-227</v>
      </c>
      <c r="G101" s="12">
        <f>IFERROR('Cash Flow Data'!I31,0)</f>
        <v>-177</v>
      </c>
      <c r="H101" s="12">
        <f>IFERROR('Cash Flow Data'!J31,0)</f>
        <v>-335</v>
      </c>
      <c r="I101" s="12">
        <f>IFERROR('Cash Flow Data'!K31,0)</f>
        <v>-417</v>
      </c>
      <c r="J101" s="12">
        <f>IFERROR('Cash Flow Data'!L31,0)</f>
        <v>-524</v>
      </c>
      <c r="K101" s="12">
        <f>IFERROR('Cash Flow Data'!M31,0)</f>
        <v>-632</v>
      </c>
      <c r="L101" s="12">
        <f>IFERROR('Cash Flow Data'!N31,0)</f>
        <v>-738</v>
      </c>
    </row>
    <row r="102" spans="2:12" x14ac:dyDescent="0.35">
      <c r="B102" s="8" t="s">
        <v>113</v>
      </c>
      <c r="C102" s="12">
        <f>IFERROR('Cash Flow Data'!E32,0)</f>
        <v>-715</v>
      </c>
      <c r="D102" s="12">
        <f>IFERROR('Cash Flow Data'!F32,0)</f>
        <v>-5</v>
      </c>
      <c r="E102" s="12">
        <f>IFERROR('Cash Flow Data'!G32,0)</f>
        <v>-76</v>
      </c>
      <c r="F102" s="12">
        <f>IFERROR('Cash Flow Data'!H32,0)</f>
        <v>-153</v>
      </c>
      <c r="G102" s="12">
        <f>IFERROR('Cash Flow Data'!I32,0)</f>
        <v>-101</v>
      </c>
      <c r="H102" s="12">
        <f>IFERROR('Cash Flow Data'!J32,0)</f>
        <v>0</v>
      </c>
      <c r="I102" s="12">
        <f>IFERROR('Cash Flow Data'!K32,0)</f>
        <v>-591</v>
      </c>
      <c r="J102" s="12">
        <f>IFERROR('Cash Flow Data'!L32,0)</f>
        <v>0</v>
      </c>
      <c r="K102" s="12">
        <f>IFERROR('Cash Flow Data'!M32,0)</f>
        <v>0</v>
      </c>
      <c r="L102" s="12">
        <f>IFERROR('Cash Flow Data'!N32,0)</f>
        <v>1611</v>
      </c>
    </row>
    <row r="103" spans="2:12" x14ac:dyDescent="0.35">
      <c r="B103" s="20" t="s">
        <v>49</v>
      </c>
      <c r="C103" s="21">
        <f t="shared" ref="C103:L103" si="24">IFERROR(SUM(C95:C102),0)</f>
        <v>-3150</v>
      </c>
      <c r="D103" s="21">
        <f t="shared" si="24"/>
        <v>-2710</v>
      </c>
      <c r="E103" s="21">
        <f t="shared" si="24"/>
        <v>-8185</v>
      </c>
      <c r="F103" s="21">
        <f t="shared" si="24"/>
        <v>1753</v>
      </c>
      <c r="G103" s="21">
        <f t="shared" si="24"/>
        <v>5189</v>
      </c>
      <c r="H103" s="21">
        <f t="shared" si="24"/>
        <v>-3110</v>
      </c>
      <c r="I103" s="21">
        <f t="shared" si="24"/>
        <v>-14657</v>
      </c>
      <c r="J103" s="21">
        <f t="shared" si="24"/>
        <v>-5977</v>
      </c>
      <c r="K103" s="21">
        <f t="shared" si="24"/>
        <v>-5005</v>
      </c>
      <c r="L103" s="21">
        <f t="shared" si="24"/>
        <v>-262</v>
      </c>
    </row>
    <row r="105" spans="2:12" ht="15" thickBot="1" x14ac:dyDescent="0.4">
      <c r="B105" s="23" t="s">
        <v>123</v>
      </c>
      <c r="C105" s="24">
        <f t="shared" ref="C105:L105" si="25">IFERROR(SUM(C78,C92,C103),0)</f>
        <v>-109</v>
      </c>
      <c r="D105" s="24">
        <f t="shared" si="25"/>
        <v>84</v>
      </c>
      <c r="E105" s="24">
        <f t="shared" si="25"/>
        <v>-335</v>
      </c>
      <c r="F105" s="24">
        <f t="shared" si="25"/>
        <v>4999</v>
      </c>
      <c r="G105" s="24">
        <f t="shared" si="25"/>
        <v>-1615</v>
      </c>
      <c r="H105" s="24">
        <f t="shared" si="25"/>
        <v>7977</v>
      </c>
      <c r="I105" s="24">
        <f t="shared" si="25"/>
        <v>-3135</v>
      </c>
      <c r="J105" s="24">
        <f t="shared" si="25"/>
        <v>6616</v>
      </c>
      <c r="K105" s="24">
        <f t="shared" si="25"/>
        <v>-7394</v>
      </c>
      <c r="L105" s="24">
        <f t="shared" si="25"/>
        <v>3640</v>
      </c>
    </row>
  </sheetData>
  <mergeCells count="1">
    <mergeCell ref="B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4.5" x14ac:dyDescent="0.35"/>
  <cols>
    <col min="1" max="1" width="1.90625" style="8" customWidth="1"/>
    <col min="2" max="2" width="24" style="8" customWidth="1"/>
    <col min="3" max="12" width="9.6328125" style="8" customWidth="1"/>
    <col min="13" max="13" width="16" style="8" customWidth="1"/>
    <col min="14" max="16384" width="8.7265625" style="8"/>
  </cols>
  <sheetData>
    <row r="2" spans="2:15" x14ac:dyDescent="0.35">
      <c r="B2" s="209" t="str">
        <f>"Ratio analysis - "&amp;'Data Sheet'!B1</f>
        <v>Ratio analysis - JSW STEEL LTD</v>
      </c>
      <c r="C2" s="209"/>
      <c r="D2" s="209"/>
      <c r="E2" s="209"/>
      <c r="F2" s="209"/>
      <c r="G2" s="209"/>
      <c r="H2" s="209"/>
      <c r="I2" s="209"/>
      <c r="J2" s="209"/>
      <c r="K2" s="209"/>
      <c r="L2" s="209"/>
    </row>
    <row r="3" spans="2:15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N3" s="27" t="s">
        <v>155</v>
      </c>
      <c r="O3" s="27" t="s">
        <v>156</v>
      </c>
    </row>
    <row r="5" spans="2:15" x14ac:dyDescent="0.35">
      <c r="B5" s="28" t="s">
        <v>59</v>
      </c>
      <c r="C5" s="29"/>
      <c r="D5" s="30">
        <f>IFERROR(HistoricalFS!D6,0)</f>
        <v>0.33836644870032551</v>
      </c>
      <c r="E5" s="30">
        <f>IFERROR(HistoricalFS!E6,0)</f>
        <v>0.29366592331486951</v>
      </c>
      <c r="F5" s="30">
        <f>IFERROR(HistoricalFS!F6,0)</f>
        <v>0.17827700777112043</v>
      </c>
      <c r="G5" s="30">
        <f>IFERROR(HistoricalFS!G6,0)</f>
        <v>-0.13486791651427021</v>
      </c>
      <c r="H5" s="30">
        <f>IFERROR(HistoricalFS!H6,0)</f>
        <v>8.8822518615497836E-2</v>
      </c>
      <c r="I5" s="30">
        <f>IFERROR(HistoricalFS!I6,0)</f>
        <v>0.83332707072984391</v>
      </c>
      <c r="J5" s="30">
        <f>IFERROR(HistoricalFS!J6,0)</f>
        <v>0.13383115507853338</v>
      </c>
      <c r="K5" s="30">
        <f>IFERROR(HistoricalFS!K6,0)</f>
        <v>5.4507110147023363E-2</v>
      </c>
      <c r="L5" s="30">
        <f>IFERROR(HistoricalFS!L6,0)</f>
        <v>-3.5324503159891663E-2</v>
      </c>
      <c r="M5" s="28"/>
      <c r="N5" s="30">
        <f>IFERROR(AVERAGE(D5:L5),0)</f>
        <v>0.19451164607589466</v>
      </c>
      <c r="O5" s="30">
        <f>IFERROR(MEDIAN(D5:L5),0)</f>
        <v>0.13383115507853338</v>
      </c>
    </row>
    <row r="6" spans="2:15" x14ac:dyDescent="0.35">
      <c r="B6" s="31" t="s">
        <v>124</v>
      </c>
      <c r="C6" s="31"/>
      <c r="D6" s="32">
        <f>IFERROR(HistoricalFS!D16/HistoricalFS!C16-1,0)</f>
        <v>0.91644439461813754</v>
      </c>
      <c r="E6" s="32">
        <f>IFERROR(HistoricalFS!E16/HistoricalFS!D16-1,0)</f>
        <v>0.21189470263243426</v>
      </c>
      <c r="F6" s="32">
        <f>IFERROR(HistoricalFS!F16/HistoricalFS!E16-1,0)</f>
        <v>0.26910699919549486</v>
      </c>
      <c r="G6" s="32">
        <f>IFERROR(HistoricalFS!G16/HistoricalFS!F16-1,0)</f>
        <v>-0.37596407818277866</v>
      </c>
      <c r="H6" s="32">
        <f>IFERROR(HistoricalFS!H16/HistoricalFS!G16-1,0)</f>
        <v>0.70811817489206796</v>
      </c>
      <c r="I6" s="32">
        <f>IFERROR(HistoricalFS!I16/HistoricalFS!H16-1,0)</f>
        <v>0.93844781445138259</v>
      </c>
      <c r="J6" s="32">
        <f>IFERROR(HistoricalFS!J16/HistoricalFS!I16-1,0)</f>
        <v>-0.52779056092447718</v>
      </c>
      <c r="K6" s="32">
        <f>IFERROR(HistoricalFS!K16/HistoricalFS!J16-1,0)</f>
        <v>0.5244721169463995</v>
      </c>
      <c r="L6" s="32">
        <f>IFERROR(HistoricalFS!L16/HistoricalFS!K16-1,0)</f>
        <v>-0.19760627907802675</v>
      </c>
      <c r="M6" s="31"/>
      <c r="N6" s="32">
        <f t="shared" ref="N6:N9" si="0">IFERROR(AVERAGE(D6:L6),0)</f>
        <v>0.27412480939451489</v>
      </c>
      <c r="O6" s="32">
        <f t="shared" ref="O6:O9" si="1">IFERROR(MEDIAN(D6:L6),0)</f>
        <v>0.26910699919549486</v>
      </c>
    </row>
    <row r="7" spans="2:15" x14ac:dyDescent="0.35">
      <c r="B7" s="31" t="s">
        <v>127</v>
      </c>
      <c r="C7" s="31"/>
      <c r="D7" s="32">
        <f>IFERROR(HistoricalFS!D25/HistoricalFS!C25-1,0)</f>
        <v>-11.190854157110547</v>
      </c>
      <c r="E7" s="32">
        <f>IFERROR(HistoricalFS!E25/HistoricalFS!D25-1,0)</f>
        <v>0.53189823874755371</v>
      </c>
      <c r="F7" s="32">
        <f>IFERROR(HistoricalFS!F25/HistoricalFS!E25-1,0)</f>
        <v>0.40163515585079201</v>
      </c>
      <c r="G7" s="32">
        <f>IFERROR(HistoricalFS!G25/HistoricalFS!F25-1,0)</f>
        <v>-0.69905213270142186</v>
      </c>
      <c r="H7" s="32">
        <f>IFERROR(HistoricalFS!H25/HistoricalFS!G25-1,0)</f>
        <v>2.495457298606905</v>
      </c>
      <c r="I7" s="32">
        <f>IFERROR(HistoricalFS!I25/HistoricalFS!H25-1,0)</f>
        <v>1.4384855311037947</v>
      </c>
      <c r="J7" s="32">
        <f>IFERROR(HistoricalFS!J25/HistoricalFS!I25-1,0)</f>
        <v>-0.85453899449280513</v>
      </c>
      <c r="K7" s="32">
        <f>IFERROR(HistoricalFS!K25/HistoricalFS!J25-1,0)</f>
        <v>1.9018075232046896</v>
      </c>
      <c r="L7" s="32">
        <f>IFERROR(HistoricalFS!L25/HistoricalFS!K25-1,0)</f>
        <v>-0.58989898989898992</v>
      </c>
      <c r="M7" s="31"/>
      <c r="N7" s="32">
        <f t="shared" si="0"/>
        <v>-0.72945116963222534</v>
      </c>
      <c r="O7" s="32">
        <f t="shared" si="1"/>
        <v>0.40163515585079201</v>
      </c>
    </row>
    <row r="8" spans="2:15" x14ac:dyDescent="0.35">
      <c r="B8" s="31" t="s">
        <v>125</v>
      </c>
      <c r="C8" s="31"/>
      <c r="D8" s="32">
        <f>IFERROR(HistoricalFS!D31/HistoricalFS!C31-1,0)</f>
        <v>1.3457447534783471</v>
      </c>
      <c r="E8" s="32">
        <f>IFERROR(HistoricalFS!E31/HistoricalFS!D31-1,0)</f>
        <v>0.83061699650756693</v>
      </c>
      <c r="F8" s="32">
        <f>IFERROR(HistoricalFS!F31/HistoricalFS!E31-1,0)</f>
        <v>0.16502384737678866</v>
      </c>
      <c r="G8" s="32">
        <f>IFERROR(HistoricalFS!G31/HistoricalFS!F31-1,0)</f>
        <v>-0.42576419213973804</v>
      </c>
      <c r="H8" s="32">
        <f>IFERROR(HistoricalFS!H31/HistoricalFS!G31-1,0)</f>
        <v>0.7585551330798479</v>
      </c>
      <c r="I8" s="32">
        <f>IFERROR(HistoricalFS!I31/HistoricalFS!H31-1,0)</f>
        <v>1.6132432432432431</v>
      </c>
      <c r="J8" s="32">
        <f>IFERROR(HistoricalFS!J31/HistoricalFS!I31-1,0)</f>
        <v>-0.86668735132898955</v>
      </c>
      <c r="K8" s="32">
        <f>IFERROR(HistoricalFS!K31/HistoricalFS!J31-1,0)</f>
        <v>1.8987587276958884</v>
      </c>
      <c r="L8" s="32">
        <f>IFERROR(HistoricalFS!L31/HistoricalFS!K31-1,0)</f>
        <v>-0.56028368794326244</v>
      </c>
      <c r="M8" s="31"/>
      <c r="N8" s="32">
        <f t="shared" si="0"/>
        <v>0.52880082999663247</v>
      </c>
      <c r="O8" s="32">
        <f t="shared" si="1"/>
        <v>0.7585551330798479</v>
      </c>
    </row>
    <row r="9" spans="2:15" x14ac:dyDescent="0.35">
      <c r="B9" s="33" t="s">
        <v>126</v>
      </c>
      <c r="C9" s="33"/>
      <c r="D9" s="34">
        <f>IFERROR(HistoricalFS!D39/HistoricalFS!C39-1,0)</f>
        <v>2.0009305210918114</v>
      </c>
      <c r="E9" s="34">
        <f>IFERROR(HistoricalFS!E39/HistoricalFS!D39-1,0)</f>
        <v>0.42694721299372462</v>
      </c>
      <c r="F9" s="34">
        <f>IFERROR(HistoricalFS!F39/HistoricalFS!E39-1,0)</f>
        <v>0.27700745033112573</v>
      </c>
      <c r="G9" s="34">
        <f>IFERROR(HistoricalFS!G39/HistoricalFS!F39-1,0)</f>
        <v>-0.51219512195121952</v>
      </c>
      <c r="H9" s="34">
        <f>IFERROR(HistoricalFS!H39/HistoricalFS!G39-1,0)</f>
        <v>2.2607973421926917</v>
      </c>
      <c r="I9" s="34">
        <f>IFERROR(HistoricalFS!I39/HistoricalFS!H39-1,0)</f>
        <v>1.6603922567498728</v>
      </c>
      <c r="J9" s="34">
        <f>IFERROR(HistoricalFS!J39/HistoricalFS!I39-1,0)</f>
        <v>-0.80403458213256485</v>
      </c>
      <c r="K9" s="34">
        <f>IFERROR(HistoricalFS!K39/HistoricalFS!J39-1,0)</f>
        <v>1.1504146261072981</v>
      </c>
      <c r="L9" s="34">
        <f>IFERROR(HistoricalFS!L39/HistoricalFS!K39-1,0)</f>
        <v>-1</v>
      </c>
      <c r="M9" s="33"/>
      <c r="N9" s="34">
        <f t="shared" si="0"/>
        <v>0.60669552282030437</v>
      </c>
      <c r="O9" s="34">
        <f t="shared" si="1"/>
        <v>0.42694721299372462</v>
      </c>
    </row>
    <row r="11" spans="2:15" x14ac:dyDescent="0.35">
      <c r="B11" s="28" t="s">
        <v>128</v>
      </c>
      <c r="C11" s="30">
        <f>IFERROR(HistoricalFS!C11,0)</f>
        <v>0.19442923378978119</v>
      </c>
      <c r="D11" s="30">
        <f>IFERROR(HistoricalFS!D11,0)</f>
        <v>0.24946047046975037</v>
      </c>
      <c r="E11" s="30">
        <f>IFERROR(HistoricalFS!E11,0)</f>
        <v>0.23153490053243991</v>
      </c>
      <c r="F11" s="30">
        <f>IFERROR(HistoricalFS!F11,0)</f>
        <v>0.2578076147102894</v>
      </c>
      <c r="G11" s="30">
        <f>IFERROR(HistoricalFS!G11,0)</f>
        <v>0.2078662411695715</v>
      </c>
      <c r="H11" s="30">
        <f>IFERROR(HistoricalFS!H11,0)</f>
        <v>0.28298200127757112</v>
      </c>
      <c r="I11" s="30">
        <f>IFERROR(HistoricalFS!I11,0)</f>
        <v>0.29099343449180509</v>
      </c>
      <c r="J11" s="30">
        <f>IFERROR(HistoricalFS!J11,0)</f>
        <v>0.15084960231381056</v>
      </c>
      <c r="K11" s="30">
        <f>IFERROR(HistoricalFS!K11,0)</f>
        <v>0.19373621475835115</v>
      </c>
      <c r="L11" s="30">
        <f>IFERROR(HistoricalFS!L11,0)</f>
        <v>0.3427652466473961</v>
      </c>
      <c r="M11" s="28"/>
      <c r="N11" s="30">
        <f>IFERROR(AVERAGE(C11:L11),0)</f>
        <v>0.24024249601607667</v>
      </c>
      <c r="O11" s="30">
        <f>IFERROR(MEDIAN(C11:L11),0)</f>
        <v>0.24049768550109513</v>
      </c>
    </row>
    <row r="12" spans="2:15" x14ac:dyDescent="0.35">
      <c r="B12" s="31" t="s">
        <v>130</v>
      </c>
      <c r="C12" s="32">
        <f>IFERROR(HistoricalFS!C17,0)</f>
        <v>0.15458248016604165</v>
      </c>
      <c r="D12" s="32">
        <f>IFERROR(HistoricalFS!D17,0)</f>
        <v>0.22135098194374506</v>
      </c>
      <c r="E12" s="32">
        <f>IFERROR(HistoricalFS!E17,0)</f>
        <v>0.20735962631893567</v>
      </c>
      <c r="F12" s="32">
        <f>IFERROR(HistoricalFS!F17,0)</f>
        <v>0.22334438453461072</v>
      </c>
      <c r="G12" s="32">
        <f>IFERROR(HistoricalFS!G17,0)</f>
        <v>0.16110247388375201</v>
      </c>
      <c r="H12" s="32">
        <f>IFERROR(HistoricalFS!H17,0)</f>
        <v>0.25273362642317665</v>
      </c>
      <c r="I12" s="32">
        <f>IFERROR(HistoricalFS!I17,0)</f>
        <v>0.26722506507436583</v>
      </c>
      <c r="J12" s="32">
        <f>IFERROR(HistoricalFS!J17,0)</f>
        <v>0.11129187756085804</v>
      </c>
      <c r="K12" s="32">
        <f>IFERROR(HistoricalFS!K17,0)</f>
        <v>0.16089162657280323</v>
      </c>
      <c r="L12" s="32">
        <f>IFERROR(HistoricalFS!L17,0)</f>
        <v>0.13382575937070559</v>
      </c>
      <c r="M12" s="31"/>
      <c r="N12" s="32">
        <f t="shared" ref="N12:N31" si="2">IFERROR(AVERAGE(C12:L12),0)</f>
        <v>0.18937079018489941</v>
      </c>
      <c r="O12" s="32">
        <f t="shared" ref="O12:O41" si="3">IFERROR(MEDIAN(C12:L12),0)</f>
        <v>0.18423105010134383</v>
      </c>
    </row>
    <row r="13" spans="2:15" x14ac:dyDescent="0.35">
      <c r="B13" s="31" t="s">
        <v>132</v>
      </c>
      <c r="C13" s="32">
        <f>IFERROR((HistoricalFS!C25+HistoricalFS!C19)/HistoricalFS!C5,0)</f>
        <v>7.4609765472966438E-2</v>
      </c>
      <c r="D13" s="32">
        <f>IFERROR((HistoricalFS!D25+HistoricalFS!D19)/HistoricalFS!D5,0)</f>
        <v>0.15966477231853823</v>
      </c>
      <c r="E13" s="32">
        <f>IFERROR((HistoricalFS!E25+HistoricalFS!E19)/HistoricalFS!E5,0)</f>
        <v>0.16027414399510656</v>
      </c>
      <c r="F13" s="32">
        <f>IFERROR((HistoricalFS!F25+HistoricalFS!F19)/HistoricalFS!F5,0)</f>
        <v>0.17566690656818906</v>
      </c>
      <c r="G13" s="32">
        <f>IFERROR((HistoricalFS!G25+HistoricalFS!G19)/HistoricalFS!G5,0)</f>
        <v>0.1031966833046941</v>
      </c>
      <c r="H13" s="32">
        <f>IFERROR((HistoricalFS!H25+HistoricalFS!H19)/HistoricalFS!H5,0)</f>
        <v>0.19412818296822354</v>
      </c>
      <c r="I13" s="32">
        <f>IFERROR((HistoricalFS!I25+HistoricalFS!I19)/HistoricalFS!I5,0)</f>
        <v>0.22622650661674784</v>
      </c>
      <c r="J13" s="32">
        <f>IFERROR((HistoricalFS!J25+HistoricalFS!J19)/HistoricalFS!J5,0)</f>
        <v>6.6256929380573634E-2</v>
      </c>
      <c r="K13" s="32">
        <f>IFERROR((HistoricalFS!K25+HistoricalFS!K19)/HistoricalFS!K5,0)</f>
        <v>0.11419608470566724</v>
      </c>
      <c r="L13" s="32">
        <f>IFERROR((HistoricalFS!L25+HistoricalFS!L19)/HistoricalFS!L5,0)</f>
        <v>7.8685494953324178E-2</v>
      </c>
      <c r="M13" s="31"/>
      <c r="N13" s="32">
        <f t="shared" si="2"/>
        <v>0.1352905470284031</v>
      </c>
      <c r="O13" s="32">
        <f t="shared" si="3"/>
        <v>0.13693042851210274</v>
      </c>
    </row>
    <row r="14" spans="2:15" x14ac:dyDescent="0.35">
      <c r="B14" s="31" t="s">
        <v>131</v>
      </c>
      <c r="C14" s="32">
        <f>IFERROR(HistoricalFS!C26,0)</f>
        <v>-1.2069223228037766E-2</v>
      </c>
      <c r="D14" s="32">
        <f>IFERROR(HistoricalFS!D26,0)</f>
        <v>9.1899863319185676E-2</v>
      </c>
      <c r="E14" s="32">
        <f>IFERROR(HistoricalFS!E26,0)</f>
        <v>0.10882348852404321</v>
      </c>
      <c r="F14" s="32">
        <f>IFERROR(HistoricalFS!F26,0)</f>
        <v>0.1294524346071711</v>
      </c>
      <c r="G14" s="32">
        <f>IFERROR(HistoricalFS!G26,0)</f>
        <v>4.5031775904863215E-2</v>
      </c>
      <c r="H14" s="32">
        <f>IFERROR(HistoricalFS!H26,0)</f>
        <v>0.14456593895214118</v>
      </c>
      <c r="I14" s="32">
        <f>IFERROR(HistoricalFS!I26,0)</f>
        <v>0.19228535707209762</v>
      </c>
      <c r="J14" s="32">
        <f>IFERROR(HistoricalFS!J26,0)</f>
        <v>2.4668594842130635E-2</v>
      </c>
      <c r="K14" s="32">
        <f>IFERROR(HistoricalFS!K26,0)</f>
        <v>6.7883386855307815E-2</v>
      </c>
      <c r="L14" s="32">
        <f>IFERROR(HistoricalFS!L26,0)</f>
        <v>2.8858456143676256E-2</v>
      </c>
      <c r="M14" s="31"/>
      <c r="N14" s="32">
        <f t="shared" si="2"/>
        <v>8.2140007299257883E-2</v>
      </c>
      <c r="O14" s="32">
        <f t="shared" si="3"/>
        <v>7.9891625087246745E-2</v>
      </c>
    </row>
    <row r="15" spans="2:15" x14ac:dyDescent="0.35">
      <c r="B15" s="33" t="s">
        <v>133</v>
      </c>
      <c r="C15" s="34">
        <f>IFERROR(HistoricalFS!C32,0)</f>
        <v>3.5256679496569583E-2</v>
      </c>
      <c r="D15" s="34">
        <f>IFERROR(HistoricalFS!D32,0)</f>
        <v>6.1794115531256744E-2</v>
      </c>
      <c r="E15" s="34">
        <f>IFERROR(HistoricalFS!E32,0)</f>
        <v>8.7442481197781266E-2</v>
      </c>
      <c r="F15" s="34">
        <f>IFERROR(HistoricalFS!F32,0)</f>
        <v>8.645893554514672E-2</v>
      </c>
      <c r="G15" s="34">
        <f>IFERROR(HistoricalFS!G32,0)</f>
        <v>5.7387556937511935E-2</v>
      </c>
      <c r="H15" s="34">
        <f>IFERROR(HistoricalFS!H32,0)</f>
        <v>9.2686531644935427E-2</v>
      </c>
      <c r="I15" s="34">
        <f>IFERROR(HistoricalFS!I32,0)</f>
        <v>0.13211633451981608</v>
      </c>
      <c r="J15" s="34">
        <f>IFERROR(HistoricalFS!J32,0)</f>
        <v>1.5533863581585924E-2</v>
      </c>
      <c r="K15" s="34">
        <f>IFERROR(HistoricalFS!K32,0)</f>
        <v>4.2701393095093881E-2</v>
      </c>
      <c r="L15" s="34">
        <f>IFERROR(HistoricalFS!L32,0)</f>
        <v>1.9464057243046014E-2</v>
      </c>
      <c r="M15" s="33"/>
      <c r="N15" s="34">
        <f t="shared" si="2"/>
        <v>6.3084194879274358E-2</v>
      </c>
      <c r="O15" s="34">
        <f t="shared" si="3"/>
        <v>5.959083623438434E-2</v>
      </c>
    </row>
    <row r="17" spans="2:15" x14ac:dyDescent="0.35">
      <c r="B17" s="28" t="s">
        <v>134</v>
      </c>
      <c r="C17" s="30">
        <f>IFERROR(HistoricalFS!C14,0)</f>
        <v>3.9846753623739566E-2</v>
      </c>
      <c r="D17" s="30">
        <f>IFERROR(HistoricalFS!D14,0)</f>
        <v>2.8109488526005325E-2</v>
      </c>
      <c r="E17" s="30">
        <f>IFERROR(HistoricalFS!E14,0)</f>
        <v>2.4175274213504232E-2</v>
      </c>
      <c r="F17" s="30">
        <f>IFERROR(HistoricalFS!F14,0)</f>
        <v>3.4463230175678705E-2</v>
      </c>
      <c r="G17" s="30">
        <f>IFERROR(HistoricalFS!G14,0)</f>
        <v>4.6763767285819491E-2</v>
      </c>
      <c r="H17" s="30">
        <f>IFERROR(HistoricalFS!H14,0)</f>
        <v>3.024837485439447E-2</v>
      </c>
      <c r="I17" s="30">
        <f>IFERROR(HistoricalFS!I14,0)</f>
        <v>2.3768369417439247E-2</v>
      </c>
      <c r="J17" s="30">
        <f>IFERROR(HistoricalFS!J14,0)</f>
        <v>3.9557724752952515E-2</v>
      </c>
      <c r="K17" s="30">
        <f>IFERROR(HistoricalFS!K14,0)</f>
        <v>3.2844588185547925E-2</v>
      </c>
      <c r="L17" s="30">
        <f>IFERROR(HistoricalFS!L14,0)</f>
        <v>0.20893948727669051</v>
      </c>
      <c r="M17" s="28"/>
      <c r="N17" s="30">
        <f t="shared" si="2"/>
        <v>5.0871705831177193E-2</v>
      </c>
      <c r="O17" s="30">
        <f t="shared" si="3"/>
        <v>3.3653909180613312E-2</v>
      </c>
    </row>
    <row r="18" spans="2:15" x14ac:dyDescent="0.35">
      <c r="B18" s="31" t="s">
        <v>135</v>
      </c>
      <c r="C18" s="32">
        <f>IFERROR(HistoricalFS!C23,0)</f>
        <v>7.9972714693075195E-2</v>
      </c>
      <c r="D18" s="32">
        <f>IFERROR(HistoricalFS!D23,0)</f>
        <v>6.1686209625206823E-2</v>
      </c>
      <c r="E18" s="32">
        <f>IFERROR(HistoricalFS!E23,0)</f>
        <v>4.7085482323829121E-2</v>
      </c>
      <c r="F18" s="32">
        <f>IFERROR(HistoricalFS!F23,0)</f>
        <v>4.7677477966421654E-2</v>
      </c>
      <c r="G18" s="32">
        <f>IFERROR(HistoricalFS!G23,0)</f>
        <v>5.7905790579057904E-2</v>
      </c>
      <c r="H18" s="32">
        <f>IFERROR(HistoricalFS!H23,0)</f>
        <v>5.8605443454953096E-2</v>
      </c>
      <c r="I18" s="32">
        <f>IFERROR(HistoricalFS!I23,0)</f>
        <v>4.0998558457617969E-2</v>
      </c>
      <c r="J18" s="32">
        <f>IFERROR(HistoricalFS!J23,0)</f>
        <v>4.5034948180284404E-2</v>
      </c>
      <c r="K18" s="32">
        <f>IFERROR(HistoricalFS!K23,0)</f>
        <v>4.6695541867135981E-2</v>
      </c>
      <c r="L18" s="32">
        <f>IFERROR(HistoricalFS!L23,0)</f>
        <v>5.5140264417381415E-2</v>
      </c>
      <c r="M18" s="31"/>
      <c r="N18" s="32">
        <f t="shared" si="2"/>
        <v>5.4080243156496365E-2</v>
      </c>
      <c r="O18" s="32">
        <f t="shared" si="3"/>
        <v>5.1408871191901531E-2</v>
      </c>
    </row>
    <row r="19" spans="2:15" x14ac:dyDescent="0.35">
      <c r="B19" s="33" t="s">
        <v>136</v>
      </c>
      <c r="C19" s="35">
        <f>C13</f>
        <v>7.4609765472966438E-2</v>
      </c>
      <c r="D19" s="35">
        <f t="shared" ref="D19:L19" si="4">D13</f>
        <v>0.15966477231853823</v>
      </c>
      <c r="E19" s="35">
        <f t="shared" si="4"/>
        <v>0.16027414399510656</v>
      </c>
      <c r="F19" s="35">
        <f t="shared" si="4"/>
        <v>0.17566690656818906</v>
      </c>
      <c r="G19" s="35">
        <f t="shared" si="4"/>
        <v>0.1031966833046941</v>
      </c>
      <c r="H19" s="35">
        <f t="shared" si="4"/>
        <v>0.19412818296822354</v>
      </c>
      <c r="I19" s="35">
        <f t="shared" si="4"/>
        <v>0.22622650661674784</v>
      </c>
      <c r="J19" s="35">
        <f t="shared" si="4"/>
        <v>6.6256929380573634E-2</v>
      </c>
      <c r="K19" s="35">
        <f t="shared" si="4"/>
        <v>0.11419608470566724</v>
      </c>
      <c r="L19" s="35">
        <f t="shared" si="4"/>
        <v>7.8685494953324178E-2</v>
      </c>
      <c r="M19" s="33"/>
      <c r="N19" s="34">
        <f t="shared" si="2"/>
        <v>0.1352905470284031</v>
      </c>
      <c r="O19" s="34">
        <f t="shared" si="3"/>
        <v>0.13693042851210274</v>
      </c>
    </row>
    <row r="20" spans="2:15" x14ac:dyDescent="0.35">
      <c r="O20" s="14"/>
    </row>
    <row r="21" spans="2:15" x14ac:dyDescent="0.35">
      <c r="B21" s="28" t="s">
        <v>137</v>
      </c>
      <c r="C21" s="36">
        <f>IFERROR((HistoricalFS!C16-HistoricalFS!C22)/SUM(HistoricalFS!C46:C48),0)</f>
        <v>5.0674780952854173E-2</v>
      </c>
      <c r="D21" s="36">
        <f>IFERROR((HistoricalFS!D16-HistoricalFS!D22)/SUM(HistoricalFS!D46:D48),0)</f>
        <v>0.13455388672496627</v>
      </c>
      <c r="E21" s="36">
        <f>IFERROR((HistoricalFS!E16-HistoricalFS!E22)/SUM(HistoricalFS!E46:E48),0)</f>
        <v>0.17107625647341634</v>
      </c>
      <c r="F21" s="36">
        <f>IFERROR((HistoricalFS!F16-HistoricalFS!F22)/SUM(HistoricalFS!F46:F48),0)</f>
        <v>0.18115122093659891</v>
      </c>
      <c r="G21" s="36">
        <f>IFERROR((HistoricalFS!G16-HistoricalFS!G22)/SUM(HistoricalFS!G46:G48),0)</f>
        <v>7.7196955785435922E-2</v>
      </c>
      <c r="H21" s="36">
        <f>IFERROR((HistoricalFS!H16-HistoricalFS!H22)/SUM(HistoricalFS!H46:H48),0)</f>
        <v>0.14198944629704277</v>
      </c>
      <c r="I21" s="36">
        <f>IFERROR((HistoricalFS!I16-HistoricalFS!I22)/SUM(HistoricalFS!I46:I48),0)</f>
        <v>0.23731133630512993</v>
      </c>
      <c r="J21" s="36">
        <f>IFERROR((HistoricalFS!J16-HistoricalFS!J22)/SUM(HistoricalFS!J46:J48),0)</f>
        <v>7.5033436143789059E-2</v>
      </c>
      <c r="K21" s="36">
        <f>IFERROR((HistoricalFS!K16-HistoricalFS!K22)/SUM(HistoricalFS!K46:K48),0)</f>
        <v>0.12064375531985536</v>
      </c>
      <c r="L21" s="36">
        <f>IFERROR((HistoricalFS!L16-HistoricalFS!L22)/SUM(HistoricalFS!L46:L48),0)</f>
        <v>7.4525380368924199E-2</v>
      </c>
      <c r="M21" s="28"/>
      <c r="N21" s="30">
        <f t="shared" si="2"/>
        <v>0.12641564553080128</v>
      </c>
      <c r="O21" s="30">
        <f t="shared" si="3"/>
        <v>0.12759882102241082</v>
      </c>
    </row>
    <row r="22" spans="2:15" x14ac:dyDescent="0.35">
      <c r="B22" s="31" t="s">
        <v>138</v>
      </c>
      <c r="C22" s="37">
        <f>IFERROR(HistoricalFS!C42,0)</f>
        <v>0.845929081500293</v>
      </c>
      <c r="D22" s="37">
        <f>IFERROR(HistoricalFS!D42,0)</f>
        <v>0.80289580908032598</v>
      </c>
      <c r="E22" s="37">
        <f>IFERROR(HistoricalFS!E42,0)</f>
        <v>0.84635930047694752</v>
      </c>
      <c r="F22" s="37">
        <f>IFERROR(HistoricalFS!F42,0)</f>
        <v>0.83159115720524013</v>
      </c>
      <c r="G22" s="37">
        <f>IFERROR(HistoricalFS!G42,0)</f>
        <v>0.85693916349809884</v>
      </c>
      <c r="H22" s="37">
        <f>IFERROR(HistoricalFS!H42,0)</f>
        <v>0.73472972972972972</v>
      </c>
      <c r="I22" s="37">
        <f>IFERROR(HistoricalFS!I42,0)</f>
        <v>0.72994363429517017</v>
      </c>
      <c r="J22" s="37">
        <f>IFERROR(HistoricalFS!J42,0)</f>
        <v>0.60302560124127225</v>
      </c>
      <c r="K22" s="37">
        <f>IFERROR(HistoricalFS!K42,0)</f>
        <v>0.70206075204067975</v>
      </c>
      <c r="L22" s="37">
        <f>IFERROR(HistoricalFS!L42,0)</f>
        <v>1</v>
      </c>
      <c r="M22" s="31"/>
      <c r="N22" s="32">
        <f t="shared" si="2"/>
        <v>0.79534742290677585</v>
      </c>
      <c r="O22" s="32">
        <f t="shared" si="3"/>
        <v>0.81724348314278306</v>
      </c>
    </row>
    <row r="23" spans="2:15" x14ac:dyDescent="0.35">
      <c r="B23" s="31" t="s">
        <v>139</v>
      </c>
      <c r="C23" s="37">
        <f>IFERROR(HistoricalFS!C31/SUM(HistoricalFS!C46:C47),0)</f>
        <v>7.723412837554576E-2</v>
      </c>
      <c r="D23" s="37">
        <f>IFERROR(HistoricalFS!D31/SUM(HistoricalFS!D46:D47),0)</f>
        <v>0.15171987459707686</v>
      </c>
      <c r="E23" s="37">
        <f>IFERROR(HistoricalFS!E31/SUM(HistoricalFS!E46:E47),0)</f>
        <v>0.22465890420744339</v>
      </c>
      <c r="F23" s="37">
        <f>IFERROR(HistoricalFS!F31/SUM(HistoricalFS!F46:F47),0)</f>
        <v>0.21060497197873257</v>
      </c>
      <c r="G23" s="37">
        <f>IFERROR(HistoricalFS!G31/SUM(HistoricalFS!G46:G47),0)</f>
        <v>0.1149758190114484</v>
      </c>
      <c r="H23" s="37">
        <f>IFERROR(HistoricalFS!H31/SUM(HistoricalFS!H46:H47),0)</f>
        <v>0.15824138225985801</v>
      </c>
      <c r="I23" s="37">
        <f>IFERROR(HistoricalFS!I31/SUM(HistoricalFS!I46:I47),0)</f>
        <v>0.28735307666017801</v>
      </c>
      <c r="J23" s="37">
        <f>IFERROR(HistoricalFS!J31/SUM(HistoricalFS!J46:J47),0)</f>
        <v>3.9241951442271099E-2</v>
      </c>
      <c r="K23" s="37">
        <f>IFERROR(HistoricalFS!K31/SUM(HistoricalFS!K46:K47),0)</f>
        <v>9.6215993510924566E-2</v>
      </c>
      <c r="L23" s="37">
        <f>IFERROR(HistoricalFS!L31/SUM(HistoricalFS!L46:L47),0)</f>
        <v>4.1335413102546043E-2</v>
      </c>
      <c r="M23" s="31"/>
      <c r="N23" s="32">
        <f t="shared" si="2"/>
        <v>0.14015815151460248</v>
      </c>
      <c r="O23" s="32">
        <f t="shared" si="3"/>
        <v>0.13334784680426265</v>
      </c>
    </row>
    <row r="24" spans="2:15" x14ac:dyDescent="0.35">
      <c r="B24" s="31" t="s">
        <v>140</v>
      </c>
      <c r="C24" s="37">
        <f>IFERROR(C22*C23,0)</f>
        <v>6.5334595277201146E-2</v>
      </c>
      <c r="D24" s="37">
        <f t="shared" ref="D24:L24" si="5">IFERROR(D22*D23,0)</f>
        <v>0.12181525146818563</v>
      </c>
      <c r="E24" s="37">
        <f t="shared" si="5"/>
        <v>0.19014215301092935</v>
      </c>
      <c r="F24" s="37">
        <f t="shared" si="5"/>
        <v>0.1751372323609714</v>
      </c>
      <c r="G24" s="37">
        <f t="shared" si="5"/>
        <v>9.8527282166179411E-2</v>
      </c>
      <c r="H24" s="37">
        <f t="shared" si="5"/>
        <v>0.11626464801984432</v>
      </c>
      <c r="I24" s="37">
        <f t="shared" si="5"/>
        <v>0.20975154910322896</v>
      </c>
      <c r="J24" s="37">
        <f t="shared" si="5"/>
        <v>2.366390136235634E-2</v>
      </c>
      <c r="K24" s="37">
        <f t="shared" si="5"/>
        <v>6.7549472762620869E-2</v>
      </c>
      <c r="L24" s="37">
        <f t="shared" si="5"/>
        <v>4.1335413102546043E-2</v>
      </c>
      <c r="M24" s="31"/>
      <c r="N24" s="32">
        <f t="shared" si="2"/>
        <v>0.11095214986340633</v>
      </c>
      <c r="O24" s="32">
        <f t="shared" si="3"/>
        <v>0.10739596509301186</v>
      </c>
    </row>
    <row r="25" spans="2:15" x14ac:dyDescent="0.35">
      <c r="B25" s="33" t="s">
        <v>141</v>
      </c>
      <c r="C25" s="38">
        <f>IFERROR((HistoricalFS!C16-HistoricalFS!C22)/HistoricalFS!C19,0)</f>
        <v>0.86075952882110707</v>
      </c>
      <c r="D25" s="38">
        <f>IFERROR((HistoricalFS!D16-HistoricalFS!D22)/HistoricalFS!D19,0)</f>
        <v>2.3561571125265393</v>
      </c>
      <c r="E25" s="38">
        <f>IFERROR((HistoricalFS!E16-HistoricalFS!E22)/HistoricalFS!E19,0)</f>
        <v>3.1151040259389355</v>
      </c>
      <c r="F25" s="38">
        <f>IFERROR((HistoricalFS!F16-HistoricalFS!F22)/HistoricalFS!F19,0)</f>
        <v>3.8011233086545824</v>
      </c>
      <c r="G25" s="38">
        <f>IFERROR((HistoricalFS!G16-HistoricalFS!G22)/HistoricalFS!G19,0)</f>
        <v>1.7742086752637749</v>
      </c>
      <c r="H25" s="38">
        <f>IFERROR((HistoricalFS!H16-HistoricalFS!H22)/HistoricalFS!H19,0)</f>
        <v>3.9168562041950974</v>
      </c>
      <c r="I25" s="38">
        <f>IFERROR((HistoricalFS!I16-HistoricalFS!I22)/HistoricalFS!I19,0)</f>
        <v>6.6652576489533013</v>
      </c>
      <c r="J25" s="38">
        <f>IFERROR((HistoricalFS!J16-HistoricalFS!J22)/HistoricalFS!J19,0)</f>
        <v>1.5931614024920313</v>
      </c>
      <c r="K25" s="38">
        <f>IFERROR((HistoricalFS!K16-HistoricalFS!K22)/HistoricalFS!K19,0)</f>
        <v>2.4657618753855646</v>
      </c>
      <c r="L25" s="38">
        <f>IFERROR((HistoricalFS!L16-HistoricalFS!L22)/HistoricalFS!L19,0)</f>
        <v>1.5791726105563482</v>
      </c>
      <c r="M25" s="33"/>
      <c r="N25" s="38">
        <f t="shared" si="2"/>
        <v>2.8127562392787282</v>
      </c>
      <c r="O25" s="38">
        <f t="shared" si="3"/>
        <v>2.4109594939560521</v>
      </c>
    </row>
    <row r="26" spans="2:15" x14ac:dyDescent="0.35">
      <c r="O26" s="14"/>
    </row>
    <row r="27" spans="2:15" x14ac:dyDescent="0.35">
      <c r="B27" s="28" t="s">
        <v>142</v>
      </c>
      <c r="C27" s="39">
        <f>IFERROR(HistoricalFS!C5/HistoricalFS!C58,0)</f>
        <v>15.233052354466023</v>
      </c>
      <c r="D27" s="39">
        <f>IFERROR(HistoricalFS!D5/HistoricalFS!D58,0)</f>
        <v>13.401783562304169</v>
      </c>
      <c r="E27" s="39">
        <f>IFERROR(HistoricalFS!E5/HistoricalFS!E58,0)</f>
        <v>15.29187925170068</v>
      </c>
      <c r="F27" s="39">
        <f>IFERROR(HistoricalFS!F5/HistoricalFS!F58,0)</f>
        <v>11.837569832402234</v>
      </c>
      <c r="G27" s="39">
        <f>IFERROR(HistoricalFS!G5/HistoricalFS!G58,0)</f>
        <v>16.276581576026636</v>
      </c>
      <c r="H27" s="39">
        <f>IFERROR(HistoricalFS!H5/HistoricalFS!H58,0)</f>
        <v>17.797369594293357</v>
      </c>
      <c r="I27" s="39">
        <f>IFERROR(HistoricalFS!I5/HistoricalFS!I58,0)</f>
        <v>19.62867104733807</v>
      </c>
      <c r="J27" s="39">
        <f>IFERROR(HistoricalFS!J5/HistoricalFS!J58,0)</f>
        <v>23.263246425567704</v>
      </c>
      <c r="K27" s="39">
        <f>IFERROR(HistoricalFS!K5/HistoricalFS!K58,0)</f>
        <v>23.185744568097508</v>
      </c>
      <c r="L27" s="39">
        <f>IFERROR(HistoricalFS!L5/HistoricalFS!L58,0)</f>
        <v>20.062269756387405</v>
      </c>
      <c r="M27" s="28"/>
      <c r="N27" s="39">
        <f t="shared" si="2"/>
        <v>17.597816796858375</v>
      </c>
      <c r="O27" s="39">
        <f t="shared" si="3"/>
        <v>17.036975585159997</v>
      </c>
    </row>
    <row r="28" spans="2:15" x14ac:dyDescent="0.35">
      <c r="B28" s="31" t="s">
        <v>143</v>
      </c>
      <c r="C28" s="40">
        <f>IFERROR(HistoricalFS!C5/HistoricalFS!C49,0)</f>
        <v>2.0034396757166513</v>
      </c>
      <c r="D28" s="40">
        <f>IFERROR(HistoricalFS!D5/HistoricalFS!D49,0)</f>
        <v>2.5247003269160917</v>
      </c>
      <c r="E28" s="40">
        <f>IFERROR(HistoricalFS!E5/HistoricalFS!E49,0)</f>
        <v>2.9266040115545793</v>
      </c>
      <c r="F28" s="40">
        <f>IFERROR(HistoricalFS!F5/HistoricalFS!F49,0)</f>
        <v>2.5994295528430351</v>
      </c>
      <c r="G28" s="40">
        <f>IFERROR(HistoricalFS!G5/HistoricalFS!G49,0)</f>
        <v>2.1695366589739038</v>
      </c>
      <c r="H28" s="40">
        <f>IFERROR(HistoricalFS!H5/HistoricalFS!H49,0)</f>
        <v>2.0387375194709021</v>
      </c>
      <c r="I28" s="40">
        <f>IFERROR(HistoricalFS!I5/HistoricalFS!I49,0)</f>
        <v>2.5701216835525278</v>
      </c>
      <c r="J28" s="40">
        <f>IFERROR(HistoricalFS!J5/HistoricalFS!J49,0)</f>
        <v>2.593489709490397</v>
      </c>
      <c r="K28" s="40">
        <f>IFERROR(HistoricalFS!K5/HistoricalFS!K49,0)</f>
        <v>2.8115671941521407</v>
      </c>
      <c r="L28" s="40">
        <f>IFERROR(HistoricalFS!L5/HistoricalFS!L49,0)</f>
        <v>2.7014433385605017</v>
      </c>
      <c r="M28" s="31"/>
      <c r="N28" s="40">
        <f t="shared" si="2"/>
        <v>2.4939069671230731</v>
      </c>
      <c r="O28" s="40">
        <f t="shared" si="3"/>
        <v>2.5818056965214624</v>
      </c>
    </row>
    <row r="29" spans="2:15" x14ac:dyDescent="0.35">
      <c r="B29" s="31" t="s">
        <v>144</v>
      </c>
      <c r="C29" s="40">
        <f>IFERROR(HistoricalFS!C5/HistoricalFS!C59,0)</f>
        <v>4.9928219315049063</v>
      </c>
      <c r="D29" s="40">
        <f>IFERROR(HistoricalFS!D5/HistoricalFS!D59,0)</f>
        <v>4.8796840719613863</v>
      </c>
      <c r="E29" s="40">
        <f>IFERROR(HistoricalFS!E5/HistoricalFS!E59,0)</f>
        <v>5.7116881054470383</v>
      </c>
      <c r="F29" s="40">
        <f>IFERROR(HistoricalFS!F5/HistoricalFS!F59,0)</f>
        <v>5.8260241957657408</v>
      </c>
      <c r="G29" s="40">
        <f>IFERROR(HistoricalFS!G5/HistoricalFS!G59,0)</f>
        <v>5.3238945763450225</v>
      </c>
      <c r="H29" s="40">
        <f>IFERROR(HistoricalFS!H5/HistoricalFS!H59,0)</f>
        <v>5.6031300442136294</v>
      </c>
      <c r="I29" s="40">
        <f>IFERROR(HistoricalFS!I5/HistoricalFS!I59,0)</f>
        <v>4.3321691774943023</v>
      </c>
      <c r="J29" s="40">
        <f>IFERROR(HistoricalFS!J5/HistoricalFS!J59,0)</f>
        <v>5.0086011770031691</v>
      </c>
      <c r="K29" s="40">
        <f>IFERROR(HistoricalFS!K5/HistoricalFS!K59,0)</f>
        <v>4.6279518709506808</v>
      </c>
      <c r="L29" s="40">
        <f>IFERROR(HistoricalFS!L5/HistoricalFS!L59,0)</f>
        <v>4.8296143723538165</v>
      </c>
      <c r="M29" s="31"/>
      <c r="N29" s="40">
        <f t="shared" si="2"/>
        <v>5.1135579523039691</v>
      </c>
      <c r="O29" s="40">
        <f t="shared" si="3"/>
        <v>5.0007115542540372</v>
      </c>
    </row>
    <row r="30" spans="2:15" x14ac:dyDescent="0.35">
      <c r="B30" s="31" t="s">
        <v>145</v>
      </c>
      <c r="C30" s="40">
        <f>IFERROR(HistoricalFS!C5/HistoricalFS!C52,0)</f>
        <v>0.74005210589616732</v>
      </c>
      <c r="D30" s="40">
        <f>IFERROR(HistoricalFS!D5/HistoricalFS!D52,0)</f>
        <v>0.94677336965775583</v>
      </c>
      <c r="E30" s="40">
        <f>IFERROR(HistoricalFS!E5/HistoricalFS!E52,0)</f>
        <v>1.2434829207578482</v>
      </c>
      <c r="F30" s="40">
        <f>IFERROR(HistoricalFS!F5/HistoricalFS!F52,0)</f>
        <v>1.3529947002107146</v>
      </c>
      <c r="G30" s="40">
        <f>IFERROR(HistoricalFS!G5/HistoricalFS!G52,0)</f>
        <v>1.1810582266247887</v>
      </c>
      <c r="H30" s="40">
        <f>IFERROR(HistoricalFS!H5/HistoricalFS!H52,0)</f>
        <v>1.2298627478164426</v>
      </c>
      <c r="I30" s="40">
        <f>IFERROR(HistoricalFS!I5/HistoricalFS!I52,0)</f>
        <v>1.4654685622747297</v>
      </c>
      <c r="J30" s="40">
        <f>IFERROR(HistoricalFS!J5/HistoricalFS!J52,0)</f>
        <v>1.5888637843219853</v>
      </c>
      <c r="K30" s="40">
        <f>IFERROR(HistoricalFS!K5/HistoricalFS!K52,0)</f>
        <v>1.5561483536514882</v>
      </c>
      <c r="L30" s="40">
        <f>IFERROR(HistoricalFS!L5/HistoricalFS!L52,0)</f>
        <v>1.3506460258410335</v>
      </c>
      <c r="M30" s="31"/>
      <c r="N30" s="40">
        <f t="shared" si="2"/>
        <v>1.2655350797052953</v>
      </c>
      <c r="O30" s="40">
        <f t="shared" si="3"/>
        <v>1.2970644732994407</v>
      </c>
    </row>
    <row r="31" spans="2:15" x14ac:dyDescent="0.35">
      <c r="B31" s="33" t="s">
        <v>146</v>
      </c>
      <c r="C31" s="38">
        <f>IFERROR(HistoricalFS!C5/(HistoricalFS!C46+HistoricalFS!C47),0)</f>
        <v>2.1906240031214654</v>
      </c>
      <c r="D31" s="38">
        <f>IFERROR(HistoricalFS!D5/(HistoricalFS!D46+HistoricalFS!D47),0)</f>
        <v>2.4552479357089241</v>
      </c>
      <c r="E31" s="38">
        <f>IFERROR(HistoricalFS!E5/(HistoricalFS!E46+HistoricalFS!E47),0)</f>
        <v>2.5692192299449959</v>
      </c>
      <c r="F31" s="38">
        <f>IFERROR(HistoricalFS!F5/(HistoricalFS!F46+HistoricalFS!F47),0)</f>
        <v>2.435895962063515</v>
      </c>
      <c r="G31" s="38">
        <f>IFERROR(HistoricalFS!G5/(HistoricalFS!G46+HistoricalFS!G47),0)</f>
        <v>2.0034973633159376</v>
      </c>
      <c r="H31" s="38">
        <f>IFERROR(HistoricalFS!H5/(HistoricalFS!H46+HistoricalFS!H47),0)</f>
        <v>1.7072748267898383</v>
      </c>
      <c r="I31" s="38">
        <f>IFERROR(HistoricalFS!I5/(HistoricalFS!I46+HistoricalFS!I47),0)</f>
        <v>2.175000371487585</v>
      </c>
      <c r="J31" s="38">
        <f>IFERROR(HistoricalFS!J5/(HistoricalFS!J46+HistoricalFS!J47),0)</f>
        <v>2.5262196514194382</v>
      </c>
      <c r="K31" s="38">
        <f>IFERROR(HistoricalFS!K5/(HistoricalFS!K46+HistoricalFS!K47),0)</f>
        <v>2.2532284437806589</v>
      </c>
      <c r="L31" s="38">
        <f>IFERROR(HistoricalFS!L5/(HistoricalFS!L46+HistoricalFS!L47),0)</f>
        <v>2.1236791788266078</v>
      </c>
      <c r="M31" s="33"/>
      <c r="N31" s="38">
        <f t="shared" si="2"/>
        <v>2.2439886966458964</v>
      </c>
      <c r="O31" s="38">
        <f t="shared" si="3"/>
        <v>2.2219262234510619</v>
      </c>
    </row>
    <row r="32" spans="2:15" x14ac:dyDescent="0.35">
      <c r="C32" s="26"/>
      <c r="D32" s="26"/>
      <c r="E32" s="26"/>
      <c r="F32" s="26"/>
      <c r="G32" s="26"/>
      <c r="H32" s="26"/>
      <c r="I32" s="26"/>
      <c r="J32" s="26"/>
      <c r="K32" s="26"/>
      <c r="L32" s="26"/>
      <c r="O32" s="14"/>
    </row>
    <row r="33" spans="2:15" x14ac:dyDescent="0.35">
      <c r="B33" s="41" t="s">
        <v>151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30"/>
    </row>
    <row r="34" spans="2:15" x14ac:dyDescent="0.35">
      <c r="B34" s="31" t="s">
        <v>149</v>
      </c>
      <c r="C34" s="42">
        <f>IFERROR(365/C27,0)</f>
        <v>23.961054653172603</v>
      </c>
      <c r="D34" s="42">
        <f t="shared" ref="D34:L34" si="6">IFERROR(365/D27,0)</f>
        <v>27.235180922235809</v>
      </c>
      <c r="E34" s="42">
        <f t="shared" si="6"/>
        <v>23.868877983679258</v>
      </c>
      <c r="F34" s="42">
        <f t="shared" si="6"/>
        <v>30.834031407435376</v>
      </c>
      <c r="G34" s="42">
        <f t="shared" si="6"/>
        <v>22.424856121975836</v>
      </c>
      <c r="H34" s="42">
        <f t="shared" si="6"/>
        <v>20.50864865541903</v>
      </c>
      <c r="I34" s="42">
        <f t="shared" si="6"/>
        <v>18.595247692507396</v>
      </c>
      <c r="J34" s="42">
        <f t="shared" si="6"/>
        <v>15.68998553868402</v>
      </c>
      <c r="K34" s="42">
        <f t="shared" si="6"/>
        <v>15.74243168805641</v>
      </c>
      <c r="L34" s="42">
        <f t="shared" si="6"/>
        <v>18.193355210159691</v>
      </c>
      <c r="M34" s="31"/>
      <c r="N34" s="43">
        <f t="shared" ref="N34:N37" si="7">IFERROR(AVERAGE(C34:L34),0)</f>
        <v>21.705366987332543</v>
      </c>
      <c r="O34" s="43">
        <f t="shared" si="3"/>
        <v>21.466752388697433</v>
      </c>
    </row>
    <row r="35" spans="2:15" x14ac:dyDescent="0.35">
      <c r="B35" s="31" t="s">
        <v>147</v>
      </c>
      <c r="C35" s="42">
        <f>IFERROR(365/C28,0)</f>
        <v>182.1866684702826</v>
      </c>
      <c r="D35" s="42">
        <f t="shared" ref="D35:L35" si="8">IFERROR(365/D28,0)</f>
        <v>144.5716135529818</v>
      </c>
      <c r="E35" s="42">
        <f t="shared" si="8"/>
        <v>124.71793196446693</v>
      </c>
      <c r="F35" s="42">
        <f t="shared" si="8"/>
        <v>140.41542291492146</v>
      </c>
      <c r="G35" s="42">
        <f t="shared" si="8"/>
        <v>168.23868750511414</v>
      </c>
      <c r="H35" s="42">
        <f t="shared" si="8"/>
        <v>179.03236513483387</v>
      </c>
      <c r="I35" s="42">
        <f t="shared" si="8"/>
        <v>142.01662214509705</v>
      </c>
      <c r="J35" s="42">
        <f t="shared" si="8"/>
        <v>140.73701494335984</v>
      </c>
      <c r="K35" s="42">
        <f t="shared" si="8"/>
        <v>129.82083471423837</v>
      </c>
      <c r="L35" s="42">
        <f t="shared" si="8"/>
        <v>135.11295787328817</v>
      </c>
      <c r="M35" s="31"/>
      <c r="N35" s="43">
        <f t="shared" si="7"/>
        <v>148.68501192185843</v>
      </c>
      <c r="O35" s="43">
        <f t="shared" si="3"/>
        <v>141.37681854422846</v>
      </c>
    </row>
    <row r="36" spans="2:15" x14ac:dyDescent="0.35">
      <c r="B36" s="31" t="s">
        <v>148</v>
      </c>
      <c r="C36" s="42">
        <f>IFERROR(365/C29,0)</f>
        <v>73.104950468358467</v>
      </c>
      <c r="D36" s="42">
        <f t="shared" ref="D36:L36" si="9">IFERROR(365/D29,0)</f>
        <v>74.799924465865772</v>
      </c>
      <c r="E36" s="42">
        <f t="shared" si="9"/>
        <v>63.904049601712707</v>
      </c>
      <c r="F36" s="42">
        <f t="shared" si="9"/>
        <v>62.649928619465058</v>
      </c>
      <c r="G36" s="42">
        <f t="shared" si="9"/>
        <v>68.55883315604288</v>
      </c>
      <c r="H36" s="42">
        <f t="shared" si="9"/>
        <v>65.14216109921216</v>
      </c>
      <c r="I36" s="42">
        <f t="shared" si="9"/>
        <v>84.253404021288375</v>
      </c>
      <c r="J36" s="42">
        <f t="shared" si="9"/>
        <v>72.874638467100496</v>
      </c>
      <c r="K36" s="42">
        <f t="shared" si="9"/>
        <v>78.868581648629188</v>
      </c>
      <c r="L36" s="42">
        <f t="shared" si="9"/>
        <v>75.5753921243425</v>
      </c>
      <c r="M36" s="31"/>
      <c r="N36" s="43">
        <f t="shared" si="7"/>
        <v>71.973186367201762</v>
      </c>
      <c r="O36" s="43">
        <f t="shared" si="3"/>
        <v>72.989794467729482</v>
      </c>
    </row>
    <row r="37" spans="2:15" x14ac:dyDescent="0.35">
      <c r="B37" s="33" t="s">
        <v>150</v>
      </c>
      <c r="C37" s="44">
        <f>C34+C36-C35</f>
        <v>-85.120663348751521</v>
      </c>
      <c r="D37" s="44">
        <f t="shared" ref="D37:L37" si="10">D34+D36-D35</f>
        <v>-42.536508164880217</v>
      </c>
      <c r="E37" s="44">
        <f t="shared" si="10"/>
        <v>-36.945004379074959</v>
      </c>
      <c r="F37" s="44">
        <f t="shared" si="10"/>
        <v>-46.931462888021031</v>
      </c>
      <c r="G37" s="44">
        <f t="shared" si="10"/>
        <v>-77.254998227095427</v>
      </c>
      <c r="H37" s="44">
        <f t="shared" si="10"/>
        <v>-93.381555380202684</v>
      </c>
      <c r="I37" s="44">
        <f t="shared" si="10"/>
        <v>-39.167970431301271</v>
      </c>
      <c r="J37" s="44">
        <f t="shared" si="10"/>
        <v>-52.172390937575329</v>
      </c>
      <c r="K37" s="44">
        <f t="shared" si="10"/>
        <v>-35.209821377552771</v>
      </c>
      <c r="L37" s="44">
        <f t="shared" si="10"/>
        <v>-41.344210538785973</v>
      </c>
      <c r="M37" s="33"/>
      <c r="N37" s="45">
        <f t="shared" si="7"/>
        <v>-55.006458567324124</v>
      </c>
      <c r="O37" s="45">
        <f t="shared" si="3"/>
        <v>-44.733985526450624</v>
      </c>
    </row>
    <row r="38" spans="2:15" x14ac:dyDescent="0.35">
      <c r="O38" s="14"/>
    </row>
    <row r="39" spans="2:15" x14ac:dyDescent="0.35">
      <c r="B39" s="28" t="s">
        <v>152</v>
      </c>
      <c r="C39" s="30">
        <f>IFERROR(HistoricalFS!C78/HistoricalFS!C5,0)</f>
        <v>0.16605622130752365</v>
      </c>
      <c r="D39" s="30">
        <f>IFERROR(HistoricalFS!D78/HistoricalFS!D5,0)</f>
        <v>0.14186029782030068</v>
      </c>
      <c r="E39" s="30">
        <f>IFERROR(HistoricalFS!E78/HistoricalFS!E5,0)</f>
        <v>0.17209069550832023</v>
      </c>
      <c r="F39" s="30">
        <f>IFERROR(HistoricalFS!F78/HistoricalFS!F5,0)</f>
        <v>0.17264650707316209</v>
      </c>
      <c r="G39" s="30">
        <f>IFERROR(HistoricalFS!G78/HistoricalFS!G5,0)</f>
        <v>0.17435834492540164</v>
      </c>
      <c r="H39" s="30">
        <f>IFERROR(HistoricalFS!H78/HistoricalFS!H5,0)</f>
        <v>0.23533611392928269</v>
      </c>
      <c r="I39" s="30">
        <f>IFERROR(HistoricalFS!I78/HistoricalFS!I5,0)</f>
        <v>0.17947544253984737</v>
      </c>
      <c r="J39" s="30">
        <f>IFERROR(HistoricalFS!J78/HistoricalFS!J5,0)</f>
        <v>0.14053386358158593</v>
      </c>
      <c r="K39" s="30">
        <f>IFERROR(HistoricalFS!K78/HistoricalFS!K5,0)</f>
        <v>6.9014776636229611E-2</v>
      </c>
      <c r="L39" s="30">
        <f>IFERROR(HistoricalFS!L78/HistoricalFS!L5,0)</f>
        <v>0.1237916409989101</v>
      </c>
      <c r="M39" s="28"/>
      <c r="N39" s="30">
        <f t="shared" ref="N39:N41" si="11">IFERROR(AVERAGE(C39:L39),0)</f>
        <v>0.1575163904320564</v>
      </c>
      <c r="O39" s="30">
        <f t="shared" si="3"/>
        <v>0.16907345840792193</v>
      </c>
    </row>
    <row r="40" spans="2:15" x14ac:dyDescent="0.35">
      <c r="B40" s="31" t="s">
        <v>153</v>
      </c>
      <c r="C40" s="32">
        <f>IFERROR(HistoricalFS!C78/HistoricalFS!C63,0)</f>
        <v>8.422977795521501E-2</v>
      </c>
      <c r="D40" s="32">
        <f>IFERROR(HistoricalFS!D78/HistoricalFS!D63,0)</f>
        <v>8.963127095051418E-2</v>
      </c>
      <c r="E40" s="32">
        <f>IFERROR(HistoricalFS!E78/HistoricalFS!E63,0)</f>
        <v>0.13459823855605088</v>
      </c>
      <c r="F40" s="32">
        <f>IFERROR(HistoricalFS!F78/HistoricalFS!F63,0)</f>
        <v>0.12746848785247</v>
      </c>
      <c r="G40" s="32">
        <f>IFERROR(HistoricalFS!G78/HistoricalFS!G63,0)</f>
        <v>9.6988317402518592E-2</v>
      </c>
      <c r="H40" s="32">
        <f>IFERROR(HistoricalFS!H78/HistoricalFS!H63,0)</f>
        <v>0.12668136491433887</v>
      </c>
      <c r="I40" s="32">
        <f>IFERROR(HistoricalFS!I78/HistoricalFS!I63,0)</f>
        <v>0.1336997735196071</v>
      </c>
      <c r="J40" s="32">
        <f>IFERROR(HistoricalFS!J78/HistoricalFS!J63,0)</f>
        <v>0.11077757565106702</v>
      </c>
      <c r="K40" s="32">
        <f>IFERROR(HistoricalFS!K78/HistoricalFS!K63,0)</f>
        <v>5.2997393570807995E-2</v>
      </c>
      <c r="L40" s="32">
        <f>IFERROR(HistoricalFS!L78/HistoricalFS!L63,0)</f>
        <v>8.6810776682091195E-2</v>
      </c>
      <c r="M40" s="31"/>
      <c r="N40" s="32">
        <f t="shared" si="11"/>
        <v>0.10438829770546809</v>
      </c>
      <c r="O40" s="32">
        <f t="shared" si="3"/>
        <v>0.10388294652679281</v>
      </c>
    </row>
    <row r="41" spans="2:15" x14ac:dyDescent="0.35">
      <c r="B41" s="33" t="s">
        <v>154</v>
      </c>
      <c r="C41" s="34">
        <f>IFERROR(HistoricalFS!C78/SUM(HistoricalFS!C48:C49),0)</f>
        <v>0.10960980403216006</v>
      </c>
      <c r="D41" s="34">
        <f>IFERROR(HistoricalFS!D78/SUM(HistoricalFS!D48:D49),0)</f>
        <v>0.12068912757428318</v>
      </c>
      <c r="E41" s="34">
        <f>IFERROR(HistoricalFS!E78/SUM(HistoricalFS!E48:E49),0)</f>
        <v>0.19350653410867255</v>
      </c>
      <c r="F41" s="34">
        <f>IFERROR(HistoricalFS!F78/SUM(HistoricalFS!F48:F49),0)</f>
        <v>0.18290792730181746</v>
      </c>
      <c r="G41" s="34">
        <f>IFERROR(HistoricalFS!G78/SUM(HistoricalFS!G48:G49),0)</f>
        <v>0.13426660085485345</v>
      </c>
      <c r="H41" s="34">
        <f>IFERROR(HistoricalFS!H78/SUM(HistoricalFS!H48:H49),0)</f>
        <v>0.18501669079200023</v>
      </c>
      <c r="I41" s="34">
        <f>IFERROR(HistoricalFS!I78/SUM(HistoricalFS!I48:I49),0)</f>
        <v>0.20334706009846115</v>
      </c>
      <c r="J41" s="34">
        <f>IFERROR(HistoricalFS!J78/SUM(HistoricalFS!J48:J49),0)</f>
        <v>0.1610215127999779</v>
      </c>
      <c r="K41" s="34">
        <f>IFERROR(HistoricalFS!K78/SUM(HistoricalFS!K48:K49),0)</f>
        <v>8.0397260182787617E-2</v>
      </c>
      <c r="L41" s="34">
        <f>IFERROR(HistoricalFS!L78/SUM(HistoricalFS!L48:L49),0)</f>
        <v>0.12960941666770029</v>
      </c>
      <c r="M41" s="33"/>
      <c r="N41" s="34">
        <f t="shared" si="11"/>
        <v>0.15003719344127137</v>
      </c>
      <c r="O41" s="34">
        <f t="shared" si="3"/>
        <v>0.14764405682741566</v>
      </c>
    </row>
  </sheetData>
  <mergeCells count="1">
    <mergeCell ref="B2:L2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analysis'!D5:L5</xm:f>
              <xm:sqref>M5</xm:sqref>
            </x14:sparkline>
            <x14:sparkline>
              <xm:f>'Ratio analysis'!D6:L6</xm:f>
              <xm:sqref>M6</xm:sqref>
            </x14:sparkline>
            <x14:sparkline>
              <xm:f>'Ratio analysis'!D7:L7</xm:f>
              <xm:sqref>M7</xm:sqref>
            </x14:sparkline>
            <x14:sparkline>
              <xm:f>'Ratio analysis'!D8:L8</xm:f>
              <xm:sqref>M8</xm:sqref>
            </x14:sparkline>
            <x14:sparkline>
              <xm:f>'Ratio analysis'!D9:L9</xm:f>
              <xm:sqref>M9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analysis'!C11:L11</xm:f>
              <xm:sqref>M11</xm:sqref>
            </x14:sparkline>
            <x14:sparkline>
              <xm:f>'Ratio analysis'!C12:L12</xm:f>
              <xm:sqref>M12</xm:sqref>
            </x14:sparkline>
            <x14:sparkline>
              <xm:f>'Ratio analysis'!C13:L13</xm:f>
              <xm:sqref>M13</xm:sqref>
            </x14:sparkline>
            <x14:sparkline>
              <xm:f>'Ratio analysis'!C14:L14</xm:f>
              <xm:sqref>M14</xm:sqref>
            </x14:sparkline>
            <x14:sparkline>
              <xm:f>'Ratio analysis'!C15:L15</xm:f>
              <xm:sqref>M15</xm:sqref>
            </x14:sparkline>
            <x14:sparkline>
              <xm:f>'Ratio analysis'!C16:L16</xm:f>
              <xm:sqref>M16</xm:sqref>
            </x14:sparkline>
            <x14:sparkline>
              <xm:f>'Ratio analysis'!C17:L17</xm:f>
              <xm:sqref>M17</xm:sqref>
            </x14:sparkline>
            <x14:sparkline>
              <xm:f>'Ratio analysis'!C18:L18</xm:f>
              <xm:sqref>M18</xm:sqref>
            </x14:sparkline>
            <x14:sparkline>
              <xm:f>'Ratio analysis'!C19:L19</xm:f>
              <xm:sqref>M19</xm:sqref>
            </x14:sparkline>
            <x14:sparkline>
              <xm:f>'Ratio analysis'!C20:L20</xm:f>
              <xm:sqref>M20</xm:sqref>
            </x14:sparkline>
            <x14:sparkline>
              <xm:f>'Ratio analysis'!C21:L21</xm:f>
              <xm:sqref>M21</xm:sqref>
            </x14:sparkline>
            <x14:sparkline>
              <xm:f>'Ratio analysis'!C22:L22</xm:f>
              <xm:sqref>M22</xm:sqref>
            </x14:sparkline>
            <x14:sparkline>
              <xm:f>'Ratio analysis'!C23:L23</xm:f>
              <xm:sqref>M23</xm:sqref>
            </x14:sparkline>
            <x14:sparkline>
              <xm:f>'Ratio analysis'!C24:L24</xm:f>
              <xm:sqref>M24</xm:sqref>
            </x14:sparkline>
            <x14:sparkline>
              <xm:f>'Ratio analysis'!C25:L25</xm:f>
              <xm:sqref>M25</xm:sqref>
            </x14:sparkline>
            <x14:sparkline>
              <xm:f>'Ratio analysis'!C26:L26</xm:f>
              <xm:sqref>M26</xm:sqref>
            </x14:sparkline>
            <x14:sparkline>
              <xm:f>'Ratio analysis'!C27:L27</xm:f>
              <xm:sqref>M27</xm:sqref>
            </x14:sparkline>
            <x14:sparkline>
              <xm:f>'Ratio analysis'!C28:L28</xm:f>
              <xm:sqref>M28</xm:sqref>
            </x14:sparkline>
            <x14:sparkline>
              <xm:f>'Ratio analysis'!C29:L29</xm:f>
              <xm:sqref>M29</xm:sqref>
            </x14:sparkline>
            <x14:sparkline>
              <xm:f>'Ratio analysis'!C30:L30</xm:f>
              <xm:sqref>M30</xm:sqref>
            </x14:sparkline>
            <x14:sparkline>
              <xm:f>'Ratio analysis'!C31:L31</xm:f>
              <xm:sqref>M31</xm:sqref>
            </x14:sparkline>
            <x14:sparkline>
              <xm:f>'Ratio analysis'!C32:L32</xm:f>
              <xm:sqref>M32</xm:sqref>
            </x14:sparkline>
            <x14:sparkline>
              <xm:f>'Ratio analysis'!C33:L33</xm:f>
              <xm:sqref>M33</xm:sqref>
            </x14:sparkline>
            <x14:sparkline>
              <xm:f>'Ratio analysis'!C34:L34</xm:f>
              <xm:sqref>M34</xm:sqref>
            </x14:sparkline>
            <x14:sparkline>
              <xm:f>'Ratio analysis'!C35:L35</xm:f>
              <xm:sqref>M35</xm:sqref>
            </x14:sparkline>
            <x14:sparkline>
              <xm:f>'Ratio analysis'!C36:L36</xm:f>
              <xm:sqref>M36</xm:sqref>
            </x14:sparkline>
            <x14:sparkline>
              <xm:f>'Ratio analysis'!C37:L37</xm:f>
              <xm:sqref>M37</xm:sqref>
            </x14:sparkline>
            <x14:sparkline>
              <xm:f>'Ratio analysis'!C38:L38</xm:f>
              <xm:sqref>M38</xm:sqref>
            </x14:sparkline>
            <x14:sparkline>
              <xm:f>'Ratio analysis'!C39:L39</xm:f>
              <xm:sqref>M39</xm:sqref>
            </x14:sparkline>
            <x14:sparkline>
              <xm:f>'Ratio analysis'!C40:L40</xm:f>
              <xm:sqref>M40</xm:sqref>
            </x14:sparkline>
            <x14:sparkline>
              <xm:f>'Ratio analysis'!C41:L41</xm:f>
              <xm:sqref>M41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2"/>
  <sheetViews>
    <sheetView workbookViewId="0">
      <selection activeCell="M2" sqref="M2"/>
    </sheetView>
  </sheetViews>
  <sheetFormatPr defaultRowHeight="14.5" x14ac:dyDescent="0.35"/>
  <cols>
    <col min="1" max="1" width="1.90625" style="8" customWidth="1"/>
    <col min="2" max="2" width="20.36328125" style="8" customWidth="1"/>
    <col min="3" max="3" width="11.26953125" style="8" customWidth="1"/>
    <col min="4" max="5" width="8.81640625" style="8" bestFit="1" customWidth="1"/>
    <col min="6" max="12" width="9.08984375" style="8" bestFit="1" customWidth="1"/>
    <col min="13" max="13" width="12.1796875" style="8" bestFit="1" customWidth="1"/>
    <col min="14" max="16384" width="8.7265625" style="8"/>
  </cols>
  <sheetData>
    <row r="1" spans="2:18" ht="21" x14ac:dyDescent="0.5">
      <c r="B1" s="57" t="s">
        <v>163</v>
      </c>
    </row>
    <row r="4" spans="2:18" x14ac:dyDescent="0.35">
      <c r="B4" s="9" t="s">
        <v>54</v>
      </c>
      <c r="C4" s="10">
        <f>'Data Sheet'!B16</f>
        <v>42460</v>
      </c>
      <c r="D4" s="10">
        <f>'Data Sheet'!C16</f>
        <v>42825</v>
      </c>
      <c r="E4" s="10">
        <f>'Data Sheet'!D16</f>
        <v>43190</v>
      </c>
      <c r="F4" s="10">
        <f>'Data Sheet'!E16</f>
        <v>43555</v>
      </c>
      <c r="G4" s="10">
        <f>'Data Sheet'!F16</f>
        <v>43921</v>
      </c>
      <c r="H4" s="10">
        <f>'Data Sheet'!G16</f>
        <v>44286</v>
      </c>
      <c r="I4" s="10">
        <f>'Data Sheet'!H16</f>
        <v>44651</v>
      </c>
      <c r="J4" s="10">
        <f>'Data Sheet'!I16</f>
        <v>45016</v>
      </c>
      <c r="K4" s="10">
        <f>'Data Sheet'!J16</f>
        <v>45382</v>
      </c>
      <c r="L4" s="10">
        <f>'Data Sheet'!K16</f>
        <v>45747</v>
      </c>
      <c r="M4" s="157"/>
      <c r="N4" s="157"/>
      <c r="O4" s="157"/>
      <c r="P4" s="157"/>
      <c r="Q4" s="157"/>
      <c r="R4" s="157"/>
    </row>
    <row r="5" spans="2:18" x14ac:dyDescent="0.35">
      <c r="B5" s="63" t="s">
        <v>164</v>
      </c>
      <c r="C5" s="64">
        <f>-SUM(HistoricalFS!C81:C82)</f>
        <v>5162</v>
      </c>
      <c r="D5" s="64">
        <f>-SUM(HistoricalFS!D81:D82)</f>
        <v>4390</v>
      </c>
      <c r="E5" s="64">
        <f>-SUM(HistoricalFS!E81:E82)</f>
        <v>4676</v>
      </c>
      <c r="F5" s="64">
        <f>-SUM(HistoricalFS!F81:F82)</f>
        <v>10162</v>
      </c>
      <c r="G5" s="64">
        <f>-SUM(HistoricalFS!G81:G82)</f>
        <v>12767</v>
      </c>
      <c r="H5" s="64">
        <f>-SUM(HistoricalFS!H81:H82)</f>
        <v>9207</v>
      </c>
      <c r="I5" s="64">
        <f>-SUM(HistoricalFS!I81:I82)</f>
        <v>10048</v>
      </c>
      <c r="J5" s="64">
        <f>-SUM(HistoricalFS!J81:J82)</f>
        <v>14749</v>
      </c>
      <c r="K5" s="64">
        <f>-SUM(HistoricalFS!K81:K82)</f>
        <v>15547</v>
      </c>
      <c r="L5" s="64">
        <f>-SUM(HistoricalFS!L81:L82)</f>
        <v>12635</v>
      </c>
    </row>
    <row r="6" spans="2:18" x14ac:dyDescent="0.35">
      <c r="B6" s="63" t="s">
        <v>181</v>
      </c>
      <c r="C6" s="64">
        <f>-(SUM('BS data'!E17:E21)-'BS data'!E19-SUM('BS data'!E9:E11))</f>
        <v>4652</v>
      </c>
      <c r="D6" s="64">
        <f>-(SUM('BS data'!F17:F21)-'BS data'!F19-SUM('BS data'!F9:F11))</f>
        <v>209</v>
      </c>
      <c r="E6" s="64">
        <f>-(SUM('BS data'!G17:G21)-'BS data'!G19-SUM('BS data'!G9:G11))</f>
        <v>-597</v>
      </c>
      <c r="F6" s="64">
        <f>-(SUM('BS data'!H17:H21)-'BS data'!H19-SUM('BS data'!H9:H11))</f>
        <v>873</v>
      </c>
      <c r="G6" s="64">
        <f>-(SUM('BS data'!I17:I21)-'BS data'!I19-SUM('BS data'!I9:I11))</f>
        <v>5091</v>
      </c>
      <c r="H6" s="64">
        <f>-(SUM('BS data'!J17:J21)-'BS data'!J19-SUM('BS data'!J9:J11))</f>
        <v>10340</v>
      </c>
      <c r="I6" s="64">
        <f>-(SUM('BS data'!K17:K21)-'BS data'!K19-SUM('BS data'!K9:K11))</f>
        <v>-1664</v>
      </c>
      <c r="J6" s="64">
        <f>-(SUM('BS data'!L17:L21)-'BS data'!L19-SUM('BS data'!L9:L11))</f>
        <v>4246</v>
      </c>
      <c r="K6" s="64">
        <f>-(SUM('BS data'!M17:M21)-'BS data'!M19-SUM('BS data'!M9:M11))</f>
        <v>-6029</v>
      </c>
      <c r="L6" s="64">
        <f>-(SUM('BS data'!N17:N21)-'BS data'!N19-SUM('BS data'!N9:N11))</f>
        <v>-6443</v>
      </c>
    </row>
    <row r="7" spans="2:18" x14ac:dyDescent="0.35">
      <c r="B7" s="63" t="s">
        <v>182</v>
      </c>
      <c r="C7" s="63">
        <v>0</v>
      </c>
      <c r="D7" s="65">
        <f>D6-C6</f>
        <v>-4443</v>
      </c>
      <c r="E7" s="65">
        <f t="shared" ref="E7:L7" si="0">E6-D6</f>
        <v>-806</v>
      </c>
      <c r="F7" s="65">
        <f t="shared" si="0"/>
        <v>1470</v>
      </c>
      <c r="G7" s="65">
        <f t="shared" si="0"/>
        <v>4218</v>
      </c>
      <c r="H7" s="65">
        <f t="shared" si="0"/>
        <v>5249</v>
      </c>
      <c r="I7" s="65">
        <f t="shared" si="0"/>
        <v>-12004</v>
      </c>
      <c r="J7" s="65">
        <f t="shared" si="0"/>
        <v>5910</v>
      </c>
      <c r="K7" s="65">
        <f t="shared" si="0"/>
        <v>-10275</v>
      </c>
      <c r="L7" s="65">
        <f t="shared" si="0"/>
        <v>-414</v>
      </c>
    </row>
    <row r="8" spans="2:18" x14ac:dyDescent="0.35">
      <c r="B8" s="63" t="s">
        <v>183</v>
      </c>
      <c r="C8" s="64">
        <f>HistoricalFS!C16-HistoricalFS!C22</f>
        <v>3099.7499999999941</v>
      </c>
      <c r="D8" s="64">
        <f>HistoricalFS!D16-HistoricalFS!D22</f>
        <v>8878</v>
      </c>
      <c r="E8" s="64">
        <f>HistoricalFS!E16-HistoricalFS!E22</f>
        <v>11529</v>
      </c>
      <c r="F8" s="64">
        <f>HistoricalFS!F16-HistoricalFS!F22</f>
        <v>14889</v>
      </c>
      <c r="G8" s="64">
        <f>HistoricalFS!G16-HistoricalFS!G22</f>
        <v>7567</v>
      </c>
      <c r="H8" s="64">
        <f>HistoricalFS!H16-HistoricalFS!H22</f>
        <v>15499</v>
      </c>
      <c r="I8" s="64">
        <f>HistoricalFS!I16-HistoricalFS!I22</f>
        <v>33113</v>
      </c>
      <c r="J8" s="64">
        <f>HistoricalFS!J16-HistoricalFS!J22</f>
        <v>10996</v>
      </c>
      <c r="K8" s="64">
        <f>HistoricalFS!K16-HistoricalFS!K22</f>
        <v>19985</v>
      </c>
      <c r="L8" s="64">
        <f>HistoricalFS!L16-HistoricalFS!L22</f>
        <v>13284</v>
      </c>
      <c r="M8" s="14"/>
      <c r="N8" s="14"/>
      <c r="O8" s="14"/>
      <c r="P8" s="14"/>
      <c r="Q8" s="14"/>
      <c r="R8" s="14"/>
    </row>
    <row r="9" spans="2:18" x14ac:dyDescent="0.35">
      <c r="B9" s="66" t="s">
        <v>184</v>
      </c>
      <c r="C9" s="67">
        <v>0.3</v>
      </c>
      <c r="D9" s="67">
        <v>0.3</v>
      </c>
      <c r="E9" s="67">
        <v>0.3</v>
      </c>
      <c r="F9" s="67">
        <v>0.3</v>
      </c>
      <c r="G9" s="67">
        <v>0.3</v>
      </c>
      <c r="H9" s="67">
        <v>0.3</v>
      </c>
      <c r="I9" s="67">
        <v>0.3</v>
      </c>
      <c r="J9" s="67">
        <v>0.3</v>
      </c>
      <c r="K9" s="67">
        <v>0.3</v>
      </c>
      <c r="L9" s="67">
        <v>0.3</v>
      </c>
    </row>
    <row r="10" spans="2:18" x14ac:dyDescent="0.35">
      <c r="B10" s="63" t="s">
        <v>185</v>
      </c>
      <c r="C10" s="64">
        <f>C8*(1-C9)</f>
        <v>2169.8249999999957</v>
      </c>
      <c r="D10" s="64">
        <f t="shared" ref="D10:L10" si="1">D8*(1-D9)</f>
        <v>6214.5999999999995</v>
      </c>
      <c r="E10" s="64">
        <f t="shared" si="1"/>
        <v>8070.2999999999993</v>
      </c>
      <c r="F10" s="64">
        <f t="shared" si="1"/>
        <v>10422.299999999999</v>
      </c>
      <c r="G10" s="64">
        <f t="shared" si="1"/>
        <v>5296.9</v>
      </c>
      <c r="H10" s="64">
        <f t="shared" si="1"/>
        <v>10849.3</v>
      </c>
      <c r="I10" s="64">
        <f t="shared" si="1"/>
        <v>23179.1</v>
      </c>
      <c r="J10" s="64">
        <f t="shared" si="1"/>
        <v>7697.2</v>
      </c>
      <c r="K10" s="64">
        <f t="shared" si="1"/>
        <v>13989.5</v>
      </c>
      <c r="L10" s="64">
        <f t="shared" si="1"/>
        <v>9298.7999999999993</v>
      </c>
    </row>
    <row r="11" spans="2:18" x14ac:dyDescent="0.35">
      <c r="B11" s="63" t="s">
        <v>186</v>
      </c>
      <c r="C11" s="64">
        <f>'BS data'!E6</f>
        <v>42204</v>
      </c>
      <c r="D11" s="64">
        <f>'BS data'!F6</f>
        <v>43334</v>
      </c>
      <c r="E11" s="64">
        <f>'BS data'!G6</f>
        <v>39393</v>
      </c>
      <c r="F11" s="64">
        <f>'BS data'!H6</f>
        <v>47396</v>
      </c>
      <c r="G11" s="64">
        <f>'BS data'!I6</f>
        <v>61423</v>
      </c>
      <c r="H11" s="64">
        <f>'BS data'!J6</f>
        <v>62392</v>
      </c>
      <c r="I11" s="64">
        <f>'BS data'!K6</f>
        <v>72237</v>
      </c>
      <c r="J11" s="64">
        <f>'BS data'!L6</f>
        <v>80853</v>
      </c>
      <c r="K11" s="64">
        <f>'BS data'!M6</f>
        <v>87984</v>
      </c>
      <c r="L11" s="64">
        <f>'BS data'!N6</f>
        <v>98752</v>
      </c>
    </row>
    <row r="12" spans="2:18" x14ac:dyDescent="0.35">
      <c r="B12" s="63" t="s">
        <v>187</v>
      </c>
      <c r="C12" s="64">
        <f>SUM('BS data'!E4:E5)</f>
        <v>18966</v>
      </c>
      <c r="D12" s="64">
        <f>SUM('BS data'!F4:F5)</f>
        <v>22647</v>
      </c>
      <c r="E12" s="64">
        <f>SUM('BS data'!G4:G5)</f>
        <v>27998</v>
      </c>
      <c r="F12" s="64">
        <f>SUM('BS data'!H4:H5)</f>
        <v>34795</v>
      </c>
      <c r="G12" s="64">
        <f>SUM('BS data'!I4:I5)</f>
        <v>36599</v>
      </c>
      <c r="H12" s="64">
        <f>SUM('BS data'!J4:J5)</f>
        <v>46764</v>
      </c>
      <c r="I12" s="64">
        <f>SUM('BS data'!K4:K5)</f>
        <v>67297</v>
      </c>
      <c r="J12" s="64">
        <f>SUM('BS data'!L4:L5)</f>
        <v>65695</v>
      </c>
      <c r="K12" s="64">
        <f>SUM('BS data'!M4:M5)</f>
        <v>77669</v>
      </c>
      <c r="L12" s="64">
        <f>SUM('BS data'!N4:N5)</f>
        <v>79496</v>
      </c>
    </row>
    <row r="13" spans="2:18" x14ac:dyDescent="0.35">
      <c r="B13" s="63" t="s">
        <v>188</v>
      </c>
      <c r="C13" s="64">
        <f>'BS data'!E19</f>
        <v>1020</v>
      </c>
      <c r="D13" s="64">
        <f>'BS data'!F19</f>
        <v>1485</v>
      </c>
      <c r="E13" s="64">
        <f>'BS data'!G19</f>
        <v>1063</v>
      </c>
      <c r="F13" s="64">
        <f>'BS data'!H19</f>
        <v>6187</v>
      </c>
      <c r="G13" s="64">
        <f>'BS data'!I19</f>
        <v>12003</v>
      </c>
      <c r="H13" s="64">
        <f>'BS data'!J19</f>
        <v>12813</v>
      </c>
      <c r="I13" s="64">
        <f>'BS data'!K19</f>
        <v>17383</v>
      </c>
      <c r="J13" s="64">
        <f>'BS data'!L19</f>
        <v>20714</v>
      </c>
      <c r="K13" s="64">
        <f>'BS data'!M19</f>
        <v>12348</v>
      </c>
      <c r="L13" s="64">
        <f>'BS data'!N19</f>
        <v>13285</v>
      </c>
    </row>
    <row r="14" spans="2:18" x14ac:dyDescent="0.35"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</row>
    <row r="15" spans="2:18" ht="16.5" x14ac:dyDescent="0.35">
      <c r="B15" s="63" t="s">
        <v>195</v>
      </c>
      <c r="C15" s="68">
        <f>(C5-C7)/C10</f>
        <v>2.3789936976484327</v>
      </c>
      <c r="D15" s="68">
        <f t="shared" ref="D15:L15" si="2">(D5-D7)/D10</f>
        <v>1.4213304154732405</v>
      </c>
      <c r="E15" s="68">
        <f t="shared" si="2"/>
        <v>0.67928081979604238</v>
      </c>
      <c r="F15" s="68">
        <f t="shared" si="2"/>
        <v>0.83398098308434809</v>
      </c>
      <c r="G15" s="68">
        <f t="shared" si="2"/>
        <v>1.6139628839509903</v>
      </c>
      <c r="H15" s="68">
        <f t="shared" si="2"/>
        <v>0.36481616325477223</v>
      </c>
      <c r="I15" s="68">
        <f t="shared" si="2"/>
        <v>0.95137429839812593</v>
      </c>
      <c r="J15" s="68">
        <f t="shared" si="2"/>
        <v>1.1483396559787975</v>
      </c>
      <c r="K15" s="68">
        <f t="shared" si="2"/>
        <v>1.8458129311269167</v>
      </c>
      <c r="L15" s="68">
        <f t="shared" si="2"/>
        <v>1.403299350453822</v>
      </c>
    </row>
    <row r="16" spans="2:18" ht="16.5" x14ac:dyDescent="0.35">
      <c r="B16" s="63" t="s">
        <v>196</v>
      </c>
      <c r="C16" s="69">
        <f>C10/(C11+C12-C13)</f>
        <v>3.6073566084787956E-2</v>
      </c>
      <c r="D16" s="69">
        <f t="shared" ref="D16:L16" si="3">D10/(D11+D12-D13)</f>
        <v>9.6356363185313806E-2</v>
      </c>
      <c r="E16" s="69">
        <f t="shared" si="3"/>
        <v>0.12167259679170184</v>
      </c>
      <c r="F16" s="69">
        <f t="shared" si="3"/>
        <v>0.1371283090363665</v>
      </c>
      <c r="G16" s="69">
        <f t="shared" si="3"/>
        <v>6.1578255966705027E-2</v>
      </c>
      <c r="H16" s="69">
        <f t="shared" si="3"/>
        <v>0.11261119126454439</v>
      </c>
      <c r="I16" s="69">
        <f t="shared" si="3"/>
        <v>0.18975775883946916</v>
      </c>
      <c r="J16" s="69">
        <f t="shared" si="3"/>
        <v>6.116947724780266E-2</v>
      </c>
      <c r="K16" s="69">
        <f t="shared" si="3"/>
        <v>9.1252731482991428E-2</v>
      </c>
      <c r="L16" s="69">
        <f t="shared" si="3"/>
        <v>5.6369003958463407E-2</v>
      </c>
    </row>
    <row r="17" spans="2:18" ht="16.5" x14ac:dyDescent="0.35">
      <c r="B17" s="63" t="s">
        <v>197</v>
      </c>
      <c r="C17" s="70">
        <f>C15*C16</f>
        <v>8.5818786367414801E-2</v>
      </c>
      <c r="D17" s="70">
        <f t="shared" ref="D17:L17" si="4">D15*D16</f>
        <v>0.13695422971967253</v>
      </c>
      <c r="E17" s="70">
        <f t="shared" si="4"/>
        <v>8.2649861295380544E-2</v>
      </c>
      <c r="F17" s="70">
        <f t="shared" si="4"/>
        <v>0.11436240197884323</v>
      </c>
      <c r="G17" s="70">
        <f t="shared" si="4"/>
        <v>9.9385019588695528E-2</v>
      </c>
      <c r="H17" s="70">
        <f t="shared" si="4"/>
        <v>4.1082382736680405E-2</v>
      </c>
      <c r="I17" s="70">
        <f t="shared" si="4"/>
        <v>0.18053065468150076</v>
      </c>
      <c r="J17" s="70">
        <f t="shared" si="4"/>
        <v>7.0243336459144587E-2</v>
      </c>
      <c r="K17" s="70">
        <f t="shared" si="4"/>
        <v>0.16843547177195789</v>
      </c>
      <c r="L17" s="70">
        <f t="shared" si="4"/>
        <v>7.9102586640640626E-2</v>
      </c>
      <c r="M17" s="62"/>
      <c r="N17" s="14"/>
    </row>
    <row r="18" spans="2:18" x14ac:dyDescent="0.35">
      <c r="C18" s="8">
        <v>1</v>
      </c>
      <c r="D18" s="8">
        <v>2</v>
      </c>
      <c r="E18" s="8">
        <v>3</v>
      </c>
      <c r="F18" s="8">
        <v>4</v>
      </c>
      <c r="G18" s="8">
        <v>5</v>
      </c>
      <c r="H18" s="8">
        <v>6</v>
      </c>
      <c r="I18" s="8">
        <v>7</v>
      </c>
      <c r="J18" s="8">
        <v>8</v>
      </c>
      <c r="K18" s="8">
        <v>9</v>
      </c>
      <c r="L18" s="8">
        <v>10</v>
      </c>
      <c r="M18" s="8">
        <v>11</v>
      </c>
    </row>
    <row r="19" spans="2:18" x14ac:dyDescent="0.35">
      <c r="B19" s="9" t="s">
        <v>54</v>
      </c>
      <c r="C19" s="10">
        <f>'Data Sheet'!B16</f>
        <v>42460</v>
      </c>
      <c r="D19" s="10">
        <f>'Data Sheet'!C16</f>
        <v>42825</v>
      </c>
      <c r="E19" s="10">
        <f>'Data Sheet'!D16</f>
        <v>43190</v>
      </c>
      <c r="F19" s="10">
        <f>'Data Sheet'!E16</f>
        <v>43555</v>
      </c>
      <c r="G19" s="10">
        <f>'Data Sheet'!F16</f>
        <v>43921</v>
      </c>
      <c r="H19" s="10">
        <f>'Data Sheet'!G16</f>
        <v>44286</v>
      </c>
      <c r="I19" s="10">
        <f>'Data Sheet'!H16</f>
        <v>44651</v>
      </c>
      <c r="J19" s="10">
        <f>'Data Sheet'!I16</f>
        <v>45016</v>
      </c>
      <c r="K19" s="10">
        <f>'Data Sheet'!J16</f>
        <v>45382</v>
      </c>
      <c r="L19" s="10">
        <f>'Data Sheet'!K16</f>
        <v>45747</v>
      </c>
      <c r="M19" s="10">
        <f>L19+365</f>
        <v>46112</v>
      </c>
      <c r="N19" s="157"/>
      <c r="O19" s="157"/>
      <c r="P19" s="157"/>
      <c r="Q19" s="157"/>
      <c r="R19" s="157"/>
    </row>
    <row r="20" spans="2:18" x14ac:dyDescent="0.35">
      <c r="B20" s="8" t="s">
        <v>12</v>
      </c>
      <c r="C20" s="58">
        <f>HistoricalFS!C5</f>
        <v>41546.17</v>
      </c>
      <c r="D20" s="58">
        <f>HistoricalFS!D5</f>
        <v>55604</v>
      </c>
      <c r="E20" s="58">
        <f>HistoricalFS!E5</f>
        <v>71933</v>
      </c>
      <c r="F20" s="58">
        <f>HistoricalFS!F5</f>
        <v>84757</v>
      </c>
      <c r="G20" s="58">
        <f>HistoricalFS!G5</f>
        <v>73326</v>
      </c>
      <c r="H20" s="58">
        <f>HistoricalFS!H5</f>
        <v>79839</v>
      </c>
      <c r="I20" s="58">
        <f>HistoricalFS!I5</f>
        <v>146371</v>
      </c>
      <c r="J20" s="58">
        <f>HistoricalFS!J5</f>
        <v>165960</v>
      </c>
      <c r="K20" s="58">
        <f>HistoricalFS!K5</f>
        <v>175006</v>
      </c>
      <c r="L20" s="58">
        <f>HistoricalFS!L5</f>
        <v>168824</v>
      </c>
    </row>
    <row r="21" spans="2:18" x14ac:dyDescent="0.35">
      <c r="B21" s="86" t="s">
        <v>192</v>
      </c>
      <c r="C21" s="87">
        <f>0</f>
        <v>0</v>
      </c>
      <c r="D21" s="87">
        <f>D20/C20-1</f>
        <v>0.33836644870032551</v>
      </c>
      <c r="E21" s="87">
        <f t="shared" ref="E21:L21" si="5">E20/D20-1</f>
        <v>0.29366592331486951</v>
      </c>
      <c r="F21" s="87">
        <f t="shared" si="5"/>
        <v>0.17827700777112043</v>
      </c>
      <c r="G21" s="87">
        <f t="shared" si="5"/>
        <v>-0.13486791651427021</v>
      </c>
      <c r="H21" s="87">
        <f t="shared" si="5"/>
        <v>8.8822518615497836E-2</v>
      </c>
      <c r="I21" s="87">
        <f t="shared" si="5"/>
        <v>0.83332707072984391</v>
      </c>
      <c r="J21" s="87">
        <f t="shared" si="5"/>
        <v>0.13383115507853338</v>
      </c>
      <c r="K21" s="87">
        <f t="shared" si="5"/>
        <v>5.4507110147023363E-2</v>
      </c>
      <c r="L21" s="87">
        <f t="shared" si="5"/>
        <v>-3.5324503159891663E-2</v>
      </c>
      <c r="M21" s="87"/>
      <c r="N21" s="87"/>
      <c r="O21" s="87"/>
      <c r="P21" s="87"/>
      <c r="Q21" s="87"/>
      <c r="R21" s="87"/>
    </row>
    <row r="22" spans="2:18" x14ac:dyDescent="0.35">
      <c r="B22" s="86" t="s">
        <v>193</v>
      </c>
      <c r="C22" s="88">
        <f>C17</f>
        <v>8.5818786367414801E-2</v>
      </c>
      <c r="D22" s="88">
        <f t="shared" ref="D22:L22" si="6">D17</f>
        <v>0.13695422971967253</v>
      </c>
      <c r="E22" s="88">
        <f t="shared" si="6"/>
        <v>8.2649861295380544E-2</v>
      </c>
      <c r="F22" s="88">
        <f t="shared" si="6"/>
        <v>0.11436240197884323</v>
      </c>
      <c r="G22" s="88">
        <f t="shared" si="6"/>
        <v>9.9385019588695528E-2</v>
      </c>
      <c r="H22" s="88">
        <f t="shared" si="6"/>
        <v>4.1082382736680405E-2</v>
      </c>
      <c r="I22" s="88">
        <f t="shared" si="6"/>
        <v>0.18053065468150076</v>
      </c>
      <c r="J22" s="88">
        <f t="shared" si="6"/>
        <v>7.0243336459144587E-2</v>
      </c>
      <c r="K22" s="88">
        <f t="shared" si="6"/>
        <v>0.16843547177195789</v>
      </c>
      <c r="L22" s="88">
        <f t="shared" si="6"/>
        <v>7.9102586640640626E-2</v>
      </c>
      <c r="M22" s="87"/>
      <c r="N22" s="89"/>
      <c r="O22" s="89"/>
      <c r="P22" s="89"/>
      <c r="Q22" s="89"/>
      <c r="R22" s="89"/>
    </row>
    <row r="23" spans="2:18" x14ac:dyDescent="0.35">
      <c r="M23" s="87"/>
    </row>
    <row r="24" spans="2:18" x14ac:dyDescent="0.35">
      <c r="B24" s="150"/>
      <c r="C24" s="151" t="s">
        <v>192</v>
      </c>
      <c r="D24" s="151"/>
      <c r="E24" s="151" t="s">
        <v>193</v>
      </c>
      <c r="F24" s="151"/>
      <c r="G24" s="152"/>
      <c r="M24" s="87"/>
    </row>
    <row r="25" spans="2:18" x14ac:dyDescent="0.35">
      <c r="B25" s="153" t="s">
        <v>373</v>
      </c>
      <c r="C25" s="37">
        <f>MEDIAN(C21:L21)</f>
        <v>0.11132683684701561</v>
      </c>
      <c r="D25" s="31"/>
      <c r="E25" s="37">
        <f>MEDIAN(C22:L22)</f>
        <v>9.2601902978055164E-2</v>
      </c>
      <c r="F25" s="31"/>
      <c r="G25" s="154"/>
      <c r="M25" s="87"/>
    </row>
    <row r="26" spans="2:18" x14ac:dyDescent="0.35">
      <c r="B26" s="153" t="s">
        <v>374</v>
      </c>
      <c r="C26" s="37">
        <f>AVERAGE(C21:L21)</f>
        <v>0.17506048146830519</v>
      </c>
      <c r="D26" s="31"/>
      <c r="E26" s="37">
        <f>AVERAGE(C22:L22)</f>
        <v>0.10585647312399309</v>
      </c>
      <c r="F26" s="31"/>
      <c r="G26" s="154"/>
      <c r="M26" s="87"/>
    </row>
    <row r="27" spans="2:18" x14ac:dyDescent="0.35">
      <c r="B27" s="155" t="s">
        <v>375</v>
      </c>
      <c r="C27" s="149">
        <f>FORECAST(M18,C21:L21,C18:L18)</f>
        <v>0.14455151095204244</v>
      </c>
      <c r="D27" s="149"/>
      <c r="E27" s="149">
        <f>FORECAST(M18,C22:L22,C18:L18)</f>
        <v>0.11379288625398667</v>
      </c>
      <c r="F27" s="126"/>
      <c r="G27" s="156"/>
    </row>
    <row r="28" spans="2:18" x14ac:dyDescent="0.35">
      <c r="D28" s="62"/>
    </row>
    <row r="29" spans="2:18" x14ac:dyDescent="0.35">
      <c r="B29" s="90" t="s">
        <v>194</v>
      </c>
    </row>
    <row r="30" spans="2:18" x14ac:dyDescent="0.35">
      <c r="B30" s="53" t="s">
        <v>198</v>
      </c>
    </row>
    <row r="31" spans="2:18" x14ac:dyDescent="0.35">
      <c r="B31" s="53" t="s">
        <v>161</v>
      </c>
    </row>
    <row r="32" spans="2:18" x14ac:dyDescent="0.35">
      <c r="B32" s="53" t="s">
        <v>162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20"/>
  <sheetViews>
    <sheetView workbookViewId="0">
      <selection activeCell="Q11" sqref="Q11"/>
    </sheetView>
  </sheetViews>
  <sheetFormatPr defaultRowHeight="14.5" x14ac:dyDescent="0.35"/>
  <cols>
    <col min="1" max="1" width="1.90625" style="8" customWidth="1"/>
    <col min="2" max="2" width="11.6328125" style="8" customWidth="1"/>
    <col min="3" max="3" width="9.6328125" style="8" customWidth="1"/>
    <col min="4" max="4" width="10.26953125" style="8" bestFit="1" customWidth="1"/>
    <col min="5" max="17" width="9.6328125" style="8" customWidth="1"/>
    <col min="18" max="16384" width="8.7265625" style="8"/>
  </cols>
  <sheetData>
    <row r="1" spans="2:17" ht="18.5" x14ac:dyDescent="0.45">
      <c r="B1" s="147" t="s">
        <v>372</v>
      </c>
    </row>
    <row r="3" spans="2:17" x14ac:dyDescent="0.35">
      <c r="B3" s="11" t="s">
        <v>376</v>
      </c>
      <c r="D3" s="159">
        <v>2</v>
      </c>
      <c r="E3" s="158" t="str">
        <f>IF(D3=1,"Reinvestment rate",IF(D3=2,"year-on-year growth",""))</f>
        <v>year-on-year growth</v>
      </c>
    </row>
    <row r="6" spans="2:17" x14ac:dyDescent="0.35">
      <c r="B6" s="209" t="s">
        <v>12</v>
      </c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</row>
    <row r="7" spans="2:17" x14ac:dyDescent="0.35">
      <c r="B7" s="71" t="s">
        <v>189</v>
      </c>
      <c r="C7" s="72">
        <v>1</v>
      </c>
      <c r="D7" s="72">
        <v>2</v>
      </c>
      <c r="E7" s="72">
        <v>3</v>
      </c>
      <c r="F7" s="72">
        <v>4</v>
      </c>
      <c r="G7" s="72">
        <v>5</v>
      </c>
      <c r="H7" s="72">
        <v>6</v>
      </c>
      <c r="I7" s="72">
        <v>7</v>
      </c>
      <c r="J7" s="72">
        <v>8</v>
      </c>
      <c r="K7" s="72">
        <v>9</v>
      </c>
      <c r="L7" s="72">
        <v>10</v>
      </c>
      <c r="M7" s="73">
        <v>11</v>
      </c>
      <c r="N7" s="73">
        <v>12</v>
      </c>
      <c r="O7" s="73">
        <v>13</v>
      </c>
      <c r="P7" s="73">
        <v>14</v>
      </c>
      <c r="Q7" s="74">
        <v>15</v>
      </c>
    </row>
    <row r="8" spans="2:17" x14ac:dyDescent="0.35">
      <c r="B8" s="71" t="s">
        <v>190</v>
      </c>
      <c r="C8" s="75">
        <f>'Data Sheet'!$B$16</f>
        <v>42460</v>
      </c>
      <c r="D8" s="75">
        <f>C8+365</f>
        <v>42825</v>
      </c>
      <c r="E8" s="75">
        <f t="shared" ref="E8:Q8" si="0">D8+365</f>
        <v>43190</v>
      </c>
      <c r="F8" s="75">
        <f t="shared" si="0"/>
        <v>43555</v>
      </c>
      <c r="G8" s="75">
        <f t="shared" si="0"/>
        <v>43920</v>
      </c>
      <c r="H8" s="75">
        <f t="shared" si="0"/>
        <v>44285</v>
      </c>
      <c r="I8" s="75">
        <f t="shared" si="0"/>
        <v>44650</v>
      </c>
      <c r="J8" s="75">
        <f t="shared" si="0"/>
        <v>45015</v>
      </c>
      <c r="K8" s="75">
        <f t="shared" si="0"/>
        <v>45380</v>
      </c>
      <c r="L8" s="75">
        <f t="shared" si="0"/>
        <v>45745</v>
      </c>
      <c r="M8" s="76">
        <f t="shared" si="0"/>
        <v>46110</v>
      </c>
      <c r="N8" s="76">
        <f t="shared" si="0"/>
        <v>46475</v>
      </c>
      <c r="O8" s="76">
        <f t="shared" si="0"/>
        <v>46840</v>
      </c>
      <c r="P8" s="76">
        <f t="shared" si="0"/>
        <v>47205</v>
      </c>
      <c r="Q8" s="77">
        <f t="shared" si="0"/>
        <v>47570</v>
      </c>
    </row>
    <row r="9" spans="2:17" x14ac:dyDescent="0.35">
      <c r="B9" s="71" t="s">
        <v>12</v>
      </c>
      <c r="C9" s="78">
        <f>HistoricalFS!C5</f>
        <v>41546.17</v>
      </c>
      <c r="D9" s="78">
        <f>HistoricalFS!D5</f>
        <v>55604</v>
      </c>
      <c r="E9" s="78">
        <f>HistoricalFS!E5</f>
        <v>71933</v>
      </c>
      <c r="F9" s="78">
        <f>HistoricalFS!F5</f>
        <v>84757</v>
      </c>
      <c r="G9" s="78">
        <f>HistoricalFS!G5</f>
        <v>73326</v>
      </c>
      <c r="H9" s="78">
        <f>HistoricalFS!H5</f>
        <v>79839</v>
      </c>
      <c r="I9" s="78">
        <f>HistoricalFS!I5</f>
        <v>146371</v>
      </c>
      <c r="J9" s="78">
        <f>HistoricalFS!J5</f>
        <v>165960</v>
      </c>
      <c r="K9" s="78">
        <f>HistoricalFS!K5</f>
        <v>175006</v>
      </c>
      <c r="L9" s="78">
        <f>HistoricalFS!L5</f>
        <v>168824</v>
      </c>
      <c r="M9" s="164">
        <f ca="1">L9*(1+M10)</f>
        <v>193227.76428496759</v>
      </c>
      <c r="N9" s="164">
        <f t="shared" ref="N9:Q9" ca="1" si="1">M9*(1+N10)</f>
        <v>219823.8673274586</v>
      </c>
      <c r="O9" s="164">
        <f t="shared" ca="1" si="1"/>
        <v>248561.64078917005</v>
      </c>
      <c r="P9" s="164">
        <f t="shared" ca="1" si="1"/>
        <v>279338.69337757264</v>
      </c>
      <c r="Q9" s="80">
        <f t="shared" ca="1" si="1"/>
        <v>310065.94964910566</v>
      </c>
    </row>
    <row r="10" spans="2:17" x14ac:dyDescent="0.35">
      <c r="B10" s="71" t="s">
        <v>191</v>
      </c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63">
        <f ca="1">OFFSET(M9,$D$3,0)</f>
        <v>0.14455151095204244</v>
      </c>
      <c r="N10" s="163">
        <f t="shared" ref="N10:Q10" ca="1" si="2">OFFSET(N9,$D$3,0)</f>
        <v>0.13764120876163394</v>
      </c>
      <c r="O10" s="163">
        <f t="shared" ca="1" si="2"/>
        <v>0.13073090657122544</v>
      </c>
      <c r="P10" s="163">
        <f t="shared" ca="1" si="2"/>
        <v>0.12382060438081695</v>
      </c>
      <c r="Q10" s="162">
        <f t="shared" ca="1" si="2"/>
        <v>0.11</v>
      </c>
    </row>
    <row r="11" spans="2:17" x14ac:dyDescent="0.35">
      <c r="B11" s="160" t="s">
        <v>377</v>
      </c>
      <c r="C11" s="37"/>
      <c r="D11" s="32"/>
      <c r="E11" s="32"/>
      <c r="F11" s="32"/>
      <c r="G11" s="32"/>
      <c r="H11" s="32"/>
      <c r="I11" s="32"/>
      <c r="J11" s="32"/>
      <c r="K11" s="32"/>
      <c r="L11" s="32"/>
      <c r="M11" s="165">
        <f>Growth!C27</f>
        <v>0.14455151095204244</v>
      </c>
      <c r="N11" s="165">
        <f>M11+(($Q$11-$M$11)/5)</f>
        <v>0.13764120876163394</v>
      </c>
      <c r="O11" s="165">
        <f t="shared" ref="O11:P11" si="3">N11+(($Q$11-$M$11)/5)</f>
        <v>0.13073090657122544</v>
      </c>
      <c r="P11" s="165">
        <f t="shared" si="3"/>
        <v>0.12382060438081695</v>
      </c>
      <c r="Q11" s="166">
        <v>0.11</v>
      </c>
    </row>
    <row r="12" spans="2:17" ht="15" thickBot="1" x14ac:dyDescent="0.4">
      <c r="B12" s="161" t="s">
        <v>378</v>
      </c>
      <c r="C12" s="85"/>
      <c r="D12" s="81"/>
      <c r="E12" s="81"/>
      <c r="F12" s="81"/>
      <c r="G12" s="81"/>
      <c r="H12" s="81"/>
      <c r="I12" s="81"/>
      <c r="J12" s="81"/>
      <c r="K12" s="81"/>
      <c r="L12" s="81"/>
      <c r="M12" s="167">
        <f>Growth!E27</f>
        <v>0.11379288625398667</v>
      </c>
      <c r="N12" s="167">
        <f>M12+(($Q$12-$M$12)/5)</f>
        <v>0.10703430900318935</v>
      </c>
      <c r="O12" s="167">
        <f t="shared" ref="O12:P12" si="4">N12+(($Q$12-$M$12)/5)</f>
        <v>0.10027573175239202</v>
      </c>
      <c r="P12" s="167">
        <f t="shared" si="4"/>
        <v>9.3517154501594688E-2</v>
      </c>
      <c r="Q12" s="168">
        <v>0.08</v>
      </c>
    </row>
    <row r="16" spans="2:17" x14ac:dyDescent="0.35">
      <c r="B16" s="209" t="s">
        <v>65</v>
      </c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</row>
    <row r="17" spans="2:17" x14ac:dyDescent="0.35">
      <c r="B17" s="71" t="s">
        <v>189</v>
      </c>
      <c r="C17" s="72">
        <v>1</v>
      </c>
      <c r="D17" s="72">
        <v>2</v>
      </c>
      <c r="E17" s="72">
        <v>3</v>
      </c>
      <c r="F17" s="72">
        <v>4</v>
      </c>
      <c r="G17" s="72">
        <v>5</v>
      </c>
      <c r="H17" s="72">
        <v>6</v>
      </c>
      <c r="I17" s="72">
        <v>7</v>
      </c>
      <c r="J17" s="72">
        <v>8</v>
      </c>
      <c r="K17" s="72">
        <v>9</v>
      </c>
      <c r="L17" s="72">
        <v>10</v>
      </c>
      <c r="M17" s="73">
        <v>11</v>
      </c>
      <c r="N17" s="73">
        <v>12</v>
      </c>
      <c r="O17" s="73">
        <v>13</v>
      </c>
      <c r="P17" s="73">
        <v>14</v>
      </c>
      <c r="Q17" s="74">
        <v>15</v>
      </c>
    </row>
    <row r="18" spans="2:17" x14ac:dyDescent="0.35">
      <c r="B18" s="71" t="s">
        <v>190</v>
      </c>
      <c r="C18" s="75">
        <f>'Data Sheet'!$B$16</f>
        <v>42460</v>
      </c>
      <c r="D18" s="75">
        <f>C18+365</f>
        <v>42825</v>
      </c>
      <c r="E18" s="75">
        <f t="shared" ref="E18:Q18" si="5">D18+365</f>
        <v>43190</v>
      </c>
      <c r="F18" s="75">
        <f t="shared" si="5"/>
        <v>43555</v>
      </c>
      <c r="G18" s="75">
        <f t="shared" si="5"/>
        <v>43920</v>
      </c>
      <c r="H18" s="75">
        <f t="shared" si="5"/>
        <v>44285</v>
      </c>
      <c r="I18" s="75">
        <f t="shared" si="5"/>
        <v>44650</v>
      </c>
      <c r="J18" s="75">
        <f t="shared" si="5"/>
        <v>45015</v>
      </c>
      <c r="K18" s="75">
        <f t="shared" si="5"/>
        <v>45380</v>
      </c>
      <c r="L18" s="75">
        <f t="shared" si="5"/>
        <v>45745</v>
      </c>
      <c r="M18" s="76">
        <f t="shared" si="5"/>
        <v>46110</v>
      </c>
      <c r="N18" s="76">
        <f t="shared" si="5"/>
        <v>46475</v>
      </c>
      <c r="O18" s="76">
        <f t="shared" si="5"/>
        <v>46840</v>
      </c>
      <c r="P18" s="76">
        <f t="shared" si="5"/>
        <v>47205</v>
      </c>
      <c r="Q18" s="77">
        <f t="shared" si="5"/>
        <v>47570</v>
      </c>
    </row>
    <row r="19" spans="2:17" x14ac:dyDescent="0.35">
      <c r="B19" s="71" t="s">
        <v>65</v>
      </c>
      <c r="C19" s="78">
        <f>HistoricalFS!C16</f>
        <v>6422.309999999994</v>
      </c>
      <c r="D19" s="78">
        <f>HistoricalFS!D16</f>
        <v>12308</v>
      </c>
      <c r="E19" s="78">
        <f>HistoricalFS!E16</f>
        <v>14916</v>
      </c>
      <c r="F19" s="78">
        <f>HistoricalFS!F16</f>
        <v>18930</v>
      </c>
      <c r="G19" s="78">
        <f>HistoricalFS!G16</f>
        <v>11813</v>
      </c>
      <c r="H19" s="78">
        <f>HistoricalFS!H16</f>
        <v>20178</v>
      </c>
      <c r="I19" s="78">
        <f>HistoricalFS!I16</f>
        <v>39114</v>
      </c>
      <c r="J19" s="78">
        <f>HistoricalFS!J16</f>
        <v>18470</v>
      </c>
      <c r="K19" s="78">
        <f>HistoricalFS!K16</f>
        <v>28157</v>
      </c>
      <c r="L19" s="78">
        <f>HistoricalFS!L16</f>
        <v>22593</v>
      </c>
      <c r="M19" s="79"/>
      <c r="N19" s="79"/>
      <c r="O19" s="79"/>
      <c r="P19" s="79"/>
      <c r="Q19" s="80"/>
    </row>
    <row r="20" spans="2:17" ht="15" thickBot="1" x14ac:dyDescent="0.4">
      <c r="B20" s="83" t="s">
        <v>191</v>
      </c>
      <c r="C20" s="85">
        <f>AVERAGE(D20:L20)</f>
        <v>0.27412480939451489</v>
      </c>
      <c r="D20" s="81">
        <f>D19/C19-1</f>
        <v>0.91644439461813754</v>
      </c>
      <c r="E20" s="81">
        <f t="shared" ref="E20" si="6">E19/D19-1</f>
        <v>0.21189470263243426</v>
      </c>
      <c r="F20" s="81">
        <f t="shared" ref="F20" si="7">F19/E19-1</f>
        <v>0.26910699919549486</v>
      </c>
      <c r="G20" s="81">
        <f t="shared" ref="G20" si="8">G19/F19-1</f>
        <v>-0.37596407818277866</v>
      </c>
      <c r="H20" s="81">
        <f t="shared" ref="H20" si="9">H19/G19-1</f>
        <v>0.70811817489206796</v>
      </c>
      <c r="I20" s="81">
        <f t="shared" ref="I20" si="10">I19/H19-1</f>
        <v>0.93844781445138259</v>
      </c>
      <c r="J20" s="81">
        <f t="shared" ref="J20" si="11">J19/I19-1</f>
        <v>-0.52779056092447718</v>
      </c>
      <c r="K20" s="81">
        <f t="shared" ref="K20" si="12">K19/J19-1</f>
        <v>0.5244721169463995</v>
      </c>
      <c r="L20" s="81">
        <f t="shared" ref="L20" si="13">L19/K19-1</f>
        <v>-0.19760627907802675</v>
      </c>
      <c r="M20" s="82"/>
      <c r="N20" s="82"/>
      <c r="O20" s="82"/>
      <c r="P20" s="82"/>
      <c r="Q20" s="84"/>
    </row>
  </sheetData>
  <dataConsolidate/>
  <mergeCells count="2">
    <mergeCell ref="B6:Q6"/>
    <mergeCell ref="B16:Q16"/>
  </mergeCells>
  <dataValidations count="1">
    <dataValidation type="list" allowBlank="1" showInputMessage="1" showErrorMessage="1" sqref="D3">
      <formula1>"1,2"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194"/>
  <sheetViews>
    <sheetView workbookViewId="0">
      <selection activeCell="G2" sqref="G2"/>
    </sheetView>
  </sheetViews>
  <sheetFormatPr defaultRowHeight="14.5" x14ac:dyDescent="0.35"/>
  <cols>
    <col min="1" max="1" width="1.90625" style="8" customWidth="1"/>
    <col min="2" max="2" width="11.6328125" style="8" bestFit="1" customWidth="1"/>
    <col min="3" max="3" width="10.6328125" style="8" customWidth="1"/>
    <col min="4" max="4" width="11.90625" style="8" customWidth="1"/>
    <col min="5" max="5" width="12" style="8" customWidth="1"/>
    <col min="6" max="15" width="10.6328125" style="8" customWidth="1"/>
    <col min="16" max="16" width="8.7265625" style="128"/>
    <col min="17" max="16384" width="8.7265625" style="8"/>
  </cols>
  <sheetData>
    <row r="1" spans="2:16" ht="18.5" x14ac:dyDescent="0.45">
      <c r="B1" s="145" t="s">
        <v>361</v>
      </c>
      <c r="F1" s="144" t="s">
        <v>360</v>
      </c>
      <c r="P1" s="8"/>
    </row>
    <row r="2" spans="2:16" x14ac:dyDescent="0.35">
      <c r="P2" s="8"/>
    </row>
    <row r="3" spans="2:16" x14ac:dyDescent="0.35">
      <c r="P3" s="8"/>
    </row>
    <row r="4" spans="2:16" x14ac:dyDescent="0.35">
      <c r="B4" s="143" t="s">
        <v>359</v>
      </c>
      <c r="C4" s="142" t="s">
        <v>217</v>
      </c>
      <c r="D4" s="142" t="s">
        <v>237</v>
      </c>
      <c r="E4" s="142" t="s">
        <v>212</v>
      </c>
      <c r="P4" s="8"/>
    </row>
    <row r="5" spans="2:16" x14ac:dyDescent="0.35">
      <c r="B5" s="8" t="s">
        <v>235</v>
      </c>
      <c r="C5" s="58">
        <v>98752</v>
      </c>
      <c r="D5" s="58">
        <v>245902.62</v>
      </c>
      <c r="E5" s="141">
        <f>SLOPE($G$14:$G$193,$E$14:$E$193)</f>
        <v>1.1292528880706336</v>
      </c>
      <c r="P5" s="8"/>
    </row>
    <row r="6" spans="2:16" x14ac:dyDescent="0.35">
      <c r="B6" s="8" t="s">
        <v>234</v>
      </c>
      <c r="C6" s="58">
        <v>94801.05</v>
      </c>
      <c r="D6" s="58">
        <v>189712.16</v>
      </c>
      <c r="E6" s="141">
        <f>SLOPE(I14:I193,$E$14:$E$193)</f>
        <v>1.3540646979157647</v>
      </c>
      <c r="P6" s="8"/>
    </row>
    <row r="7" spans="2:16" x14ac:dyDescent="0.35">
      <c r="B7" s="8" t="s">
        <v>233</v>
      </c>
      <c r="C7" s="58">
        <v>18406.080000000002</v>
      </c>
      <c r="D7" s="58">
        <v>91711.02</v>
      </c>
      <c r="E7" s="141">
        <f>SLOPE($K$14:$K$193,$E$14:$E$193)</f>
        <v>1.3052256641542337</v>
      </c>
      <c r="P7" s="8"/>
    </row>
    <row r="8" spans="2:16" x14ac:dyDescent="0.35">
      <c r="B8" s="8" t="s">
        <v>232</v>
      </c>
      <c r="C8" s="58">
        <v>36933.94</v>
      </c>
      <c r="D8" s="58">
        <v>52655.94</v>
      </c>
      <c r="E8" s="141">
        <f>SLOPE($M$14:$M$193,$E$14:$E$193)</f>
        <v>1.5705923991149173</v>
      </c>
      <c r="P8" s="8"/>
    </row>
    <row r="9" spans="2:16" x14ac:dyDescent="0.35">
      <c r="B9" s="8" t="s">
        <v>231</v>
      </c>
      <c r="C9" s="58">
        <v>2861.05</v>
      </c>
      <c r="D9" s="58">
        <v>15199.97</v>
      </c>
      <c r="E9" s="141">
        <f>SLOPE($O$14:$O$193,$E$14:$E$193)</f>
        <v>1.2320998238744723</v>
      </c>
      <c r="P9" s="8"/>
    </row>
    <row r="10" spans="2:16" x14ac:dyDescent="0.35">
      <c r="P10" s="8"/>
    </row>
    <row r="11" spans="2:16" x14ac:dyDescent="0.35">
      <c r="B11" s="140"/>
      <c r="C11" s="9"/>
      <c r="D11" s="46" t="s">
        <v>358</v>
      </c>
      <c r="E11" s="46"/>
      <c r="F11" s="139" t="s">
        <v>357</v>
      </c>
      <c r="G11" s="46"/>
      <c r="H11" s="46" t="s">
        <v>356</v>
      </c>
      <c r="I11" s="46"/>
      <c r="J11" s="46" t="s">
        <v>355</v>
      </c>
      <c r="K11" s="46"/>
      <c r="L11" s="46" t="s">
        <v>354</v>
      </c>
      <c r="M11" s="46"/>
      <c r="N11" s="46" t="s">
        <v>353</v>
      </c>
      <c r="O11" s="9"/>
    </row>
    <row r="12" spans="2:16" x14ac:dyDescent="0.35">
      <c r="B12" s="138" t="s">
        <v>352</v>
      </c>
      <c r="C12" s="11"/>
      <c r="D12" s="136" t="s">
        <v>351</v>
      </c>
      <c r="E12" s="136" t="s">
        <v>191</v>
      </c>
      <c r="F12" s="137" t="s">
        <v>351</v>
      </c>
      <c r="G12" s="136" t="s">
        <v>191</v>
      </c>
      <c r="H12" s="137" t="s">
        <v>351</v>
      </c>
      <c r="I12" s="136" t="s">
        <v>191</v>
      </c>
      <c r="J12" s="137" t="s">
        <v>351</v>
      </c>
      <c r="K12" s="136" t="s">
        <v>191</v>
      </c>
      <c r="L12" s="137" t="s">
        <v>351</v>
      </c>
      <c r="M12" s="136" t="s">
        <v>191</v>
      </c>
      <c r="N12" s="137" t="s">
        <v>351</v>
      </c>
      <c r="O12" s="136" t="s">
        <v>191</v>
      </c>
    </row>
    <row r="13" spans="2:16" x14ac:dyDescent="0.35">
      <c r="B13" s="135" t="s">
        <v>350</v>
      </c>
      <c r="D13" s="58">
        <v>25112.400000000001</v>
      </c>
      <c r="F13" s="134">
        <v>1005.55</v>
      </c>
      <c r="H13" s="134">
        <v>151.97</v>
      </c>
      <c r="J13" s="134">
        <v>899.05</v>
      </c>
      <c r="L13" s="134">
        <v>127.48</v>
      </c>
      <c r="N13" s="134">
        <v>431.35</v>
      </c>
    </row>
    <row r="14" spans="2:16" x14ac:dyDescent="0.35">
      <c r="B14" s="135">
        <v>45875</v>
      </c>
      <c r="D14" s="58">
        <v>24718.6</v>
      </c>
      <c r="E14" s="14">
        <f t="shared" ref="E14:E45" si="0">D14/D13-1</f>
        <v>-1.568149599401103E-2</v>
      </c>
      <c r="F14" s="134">
        <v>987.25</v>
      </c>
      <c r="G14" s="14">
        <f t="shared" ref="G14:G45" si="1">F14/F13-1</f>
        <v>-1.8198995574561172E-2</v>
      </c>
      <c r="H14" s="134">
        <v>152.13</v>
      </c>
      <c r="I14" s="14">
        <f t="shared" ref="I14:I45" si="2">H14/H13-1</f>
        <v>1.0528393761926047E-3</v>
      </c>
      <c r="J14" s="134">
        <v>920.75</v>
      </c>
      <c r="K14" s="14">
        <f t="shared" ref="K14:K45" si="3">J14/J13-1</f>
        <v>2.4136588621322508E-2</v>
      </c>
      <c r="L14" s="134">
        <v>129.35</v>
      </c>
      <c r="M14" s="14">
        <f t="shared" ref="M14:M45" si="4">L14/L13-1</f>
        <v>1.4668967681204848E-2</v>
      </c>
      <c r="N14" s="134">
        <v>448.95</v>
      </c>
      <c r="O14" s="14">
        <f t="shared" ref="O14:O45" si="5">N14/N13-1</f>
        <v>4.0802132838761995E-2</v>
      </c>
    </row>
    <row r="15" spans="2:16" x14ac:dyDescent="0.35">
      <c r="B15" s="135">
        <v>45663</v>
      </c>
      <c r="D15" s="58">
        <v>25003.05</v>
      </c>
      <c r="E15" s="14">
        <f t="shared" si="0"/>
        <v>1.1507528743537332E-2</v>
      </c>
      <c r="F15" s="134">
        <v>1004.9</v>
      </c>
      <c r="G15" s="14">
        <f t="shared" si="1"/>
        <v>1.787794378323615E-2</v>
      </c>
      <c r="H15" s="134">
        <v>157.49</v>
      </c>
      <c r="I15" s="14">
        <f t="shared" si="2"/>
        <v>3.523302438703757E-2</v>
      </c>
      <c r="J15" s="134">
        <v>962.75</v>
      </c>
      <c r="K15" s="14">
        <f t="shared" si="3"/>
        <v>4.5614987781699812E-2</v>
      </c>
      <c r="L15" s="134">
        <v>135.04</v>
      </c>
      <c r="M15" s="14">
        <f t="shared" si="4"/>
        <v>4.3989176652493134E-2</v>
      </c>
      <c r="N15" s="134">
        <v>435.95</v>
      </c>
      <c r="O15" s="14">
        <f t="shared" si="5"/>
        <v>-2.8956453948101091E-2</v>
      </c>
    </row>
    <row r="16" spans="2:16" x14ac:dyDescent="0.35">
      <c r="B16" s="135" t="s">
        <v>349</v>
      </c>
      <c r="D16" s="58">
        <v>24750.7</v>
      </c>
      <c r="E16" s="14">
        <f t="shared" si="0"/>
        <v>-1.0092768682220754E-2</v>
      </c>
      <c r="F16" s="134">
        <v>993.5</v>
      </c>
      <c r="G16" s="14">
        <f t="shared" si="1"/>
        <v>-1.1344412379341251E-2</v>
      </c>
      <c r="H16" s="134">
        <v>161.02000000000001</v>
      </c>
      <c r="I16" s="14">
        <f t="shared" si="2"/>
        <v>2.2414121531525888E-2</v>
      </c>
      <c r="J16" s="134">
        <v>948.9</v>
      </c>
      <c r="K16" s="14">
        <f t="shared" si="3"/>
        <v>-1.4385873799013238E-2</v>
      </c>
      <c r="L16" s="134">
        <v>129.18</v>
      </c>
      <c r="M16" s="14">
        <f t="shared" si="4"/>
        <v>-4.339454976303303E-2</v>
      </c>
      <c r="N16" s="134">
        <v>437.1</v>
      </c>
      <c r="O16" s="14">
        <f t="shared" si="5"/>
        <v>2.6379171923387457E-3</v>
      </c>
    </row>
    <row r="17" spans="2:15" x14ac:dyDescent="0.35">
      <c r="B17" s="135" t="s">
        <v>348</v>
      </c>
      <c r="D17" s="58">
        <v>24853.15</v>
      </c>
      <c r="E17" s="14">
        <f t="shared" si="0"/>
        <v>4.139276868937003E-3</v>
      </c>
      <c r="F17" s="134">
        <v>1008.5</v>
      </c>
      <c r="G17" s="14">
        <f t="shared" si="1"/>
        <v>1.5098137896326191E-2</v>
      </c>
      <c r="H17" s="134">
        <v>162.97</v>
      </c>
      <c r="I17" s="14">
        <f t="shared" si="2"/>
        <v>1.2110296857533065E-2</v>
      </c>
      <c r="J17" s="134">
        <v>953.4</v>
      </c>
      <c r="K17" s="14">
        <f t="shared" si="3"/>
        <v>4.7423332279481478E-3</v>
      </c>
      <c r="L17" s="134">
        <v>125.92</v>
      </c>
      <c r="M17" s="14">
        <f t="shared" si="4"/>
        <v>-2.5236104660164127E-2</v>
      </c>
      <c r="N17" s="134">
        <v>469.4</v>
      </c>
      <c r="O17" s="14">
        <f t="shared" si="5"/>
        <v>7.3896133607869841E-2</v>
      </c>
    </row>
    <row r="18" spans="2:15" x14ac:dyDescent="0.35">
      <c r="B18" s="135">
        <v>45966</v>
      </c>
      <c r="D18" s="58">
        <v>25019.8</v>
      </c>
      <c r="E18" s="14">
        <f t="shared" si="0"/>
        <v>6.705387445856914E-3</v>
      </c>
      <c r="F18" s="134">
        <v>1021.8</v>
      </c>
      <c r="G18" s="14">
        <f t="shared" si="1"/>
        <v>1.3187902825979148E-2</v>
      </c>
      <c r="H18" s="134">
        <v>157.55000000000001</v>
      </c>
      <c r="I18" s="14">
        <f t="shared" si="2"/>
        <v>-3.3257654783088841E-2</v>
      </c>
      <c r="J18" s="134">
        <v>981.6</v>
      </c>
      <c r="K18" s="14">
        <f t="shared" si="3"/>
        <v>2.9578351164254224E-2</v>
      </c>
      <c r="L18" s="134">
        <v>122.48</v>
      </c>
      <c r="M18" s="14">
        <f t="shared" si="4"/>
        <v>-2.7318932655654327E-2</v>
      </c>
      <c r="N18" s="134">
        <v>454.75</v>
      </c>
      <c r="O18" s="14">
        <f t="shared" si="5"/>
        <v>-3.1210055389859326E-2</v>
      </c>
    </row>
    <row r="19" spans="2:15" x14ac:dyDescent="0.35">
      <c r="B19" s="135">
        <v>45752</v>
      </c>
      <c r="D19" s="58">
        <v>24008</v>
      </c>
      <c r="E19" s="14">
        <f t="shared" si="0"/>
        <v>-4.0439971542538311E-2</v>
      </c>
      <c r="F19" s="134">
        <v>957</v>
      </c>
      <c r="G19" s="14">
        <f t="shared" si="1"/>
        <v>-6.3417498532002292E-2</v>
      </c>
      <c r="H19" s="134">
        <v>142.78</v>
      </c>
      <c r="I19" s="14">
        <f t="shared" si="2"/>
        <v>-9.3748016502697595E-2</v>
      </c>
      <c r="J19" s="134">
        <v>855.35</v>
      </c>
      <c r="K19" s="14">
        <f t="shared" si="3"/>
        <v>-0.12861654441727788</v>
      </c>
      <c r="L19" s="134">
        <v>109.01</v>
      </c>
      <c r="M19" s="14">
        <f t="shared" si="4"/>
        <v>-0.10997713912475504</v>
      </c>
      <c r="N19" s="134">
        <v>421.4</v>
      </c>
      <c r="O19" s="14">
        <f t="shared" si="5"/>
        <v>-7.3336998350742255E-2</v>
      </c>
    </row>
    <row r="20" spans="2:15" x14ac:dyDescent="0.35">
      <c r="B20" s="135" t="s">
        <v>347</v>
      </c>
      <c r="D20" s="58">
        <v>24346.7</v>
      </c>
      <c r="E20" s="14">
        <f t="shared" si="0"/>
        <v>1.4107797400866318E-2</v>
      </c>
      <c r="F20" s="134">
        <v>973.2</v>
      </c>
      <c r="G20" s="14">
        <f t="shared" si="1"/>
        <v>1.6927899686520531E-2</v>
      </c>
      <c r="H20" s="134">
        <v>141.18</v>
      </c>
      <c r="I20" s="14">
        <f t="shared" si="2"/>
        <v>-1.120605126768448E-2</v>
      </c>
      <c r="J20" s="134">
        <v>897.75</v>
      </c>
      <c r="K20" s="14">
        <f t="shared" si="3"/>
        <v>4.9570351318173778E-2</v>
      </c>
      <c r="L20" s="134">
        <v>113.22</v>
      </c>
      <c r="M20" s="14">
        <f t="shared" si="4"/>
        <v>3.8620310063296914E-2</v>
      </c>
      <c r="N20" s="134">
        <v>442.2</v>
      </c>
      <c r="O20" s="14">
        <f t="shared" si="5"/>
        <v>4.9359278595159095E-2</v>
      </c>
    </row>
    <row r="21" spans="2:15" x14ac:dyDescent="0.35">
      <c r="B21" s="135" t="s">
        <v>346</v>
      </c>
      <c r="D21" s="58">
        <v>24039.35</v>
      </c>
      <c r="E21" s="14">
        <f t="shared" si="0"/>
        <v>-1.2623887426222113E-2</v>
      </c>
      <c r="F21" s="134">
        <v>1028.4000000000001</v>
      </c>
      <c r="G21" s="14">
        <f t="shared" si="1"/>
        <v>5.6720098643649797E-2</v>
      </c>
      <c r="H21" s="134">
        <v>138.85</v>
      </c>
      <c r="I21" s="14">
        <f t="shared" si="2"/>
        <v>-1.6503754072814902E-2</v>
      </c>
      <c r="J21" s="134">
        <v>891.8</v>
      </c>
      <c r="K21" s="14">
        <f t="shared" si="3"/>
        <v>-6.6276803118908711E-3</v>
      </c>
      <c r="L21" s="134">
        <v>114.81</v>
      </c>
      <c r="M21" s="14">
        <f t="shared" si="4"/>
        <v>1.4043455219925782E-2</v>
      </c>
      <c r="N21" s="134">
        <v>477.25</v>
      </c>
      <c r="O21" s="14">
        <f t="shared" si="5"/>
        <v>7.9262777023971109E-2</v>
      </c>
    </row>
    <row r="22" spans="2:15" x14ac:dyDescent="0.35">
      <c r="B22" s="135" t="s">
        <v>345</v>
      </c>
      <c r="D22" s="58">
        <v>23851.65</v>
      </c>
      <c r="E22" s="14">
        <f t="shared" si="0"/>
        <v>-7.8080314151587338E-3</v>
      </c>
      <c r="F22" s="134">
        <v>1007.2</v>
      </c>
      <c r="G22" s="14">
        <f t="shared" si="1"/>
        <v>-2.0614546868922612E-2</v>
      </c>
      <c r="H22" s="134">
        <v>137.13999999999999</v>
      </c>
      <c r="I22" s="14">
        <f t="shared" si="2"/>
        <v>-1.231544832553122E-2</v>
      </c>
      <c r="J22" s="134">
        <v>881.7</v>
      </c>
      <c r="K22" s="14">
        <f t="shared" si="3"/>
        <v>-1.1325409284592802E-2</v>
      </c>
      <c r="L22" s="134">
        <v>113.96</v>
      </c>
      <c r="M22" s="14">
        <f t="shared" si="4"/>
        <v>-7.4035362773278157E-3</v>
      </c>
      <c r="N22" s="134">
        <v>479.1</v>
      </c>
      <c r="O22" s="14">
        <f t="shared" si="5"/>
        <v>3.8763750654793316E-3</v>
      </c>
    </row>
    <row r="23" spans="2:15" x14ac:dyDescent="0.35">
      <c r="B23" s="135">
        <v>45812</v>
      </c>
      <c r="D23" s="58">
        <v>22828.55</v>
      </c>
      <c r="E23" s="14">
        <f t="shared" si="0"/>
        <v>-4.2894307102443685E-2</v>
      </c>
      <c r="F23" s="134">
        <v>990.25</v>
      </c>
      <c r="G23" s="14">
        <f t="shared" si="1"/>
        <v>-1.682883240667199E-2</v>
      </c>
      <c r="H23" s="134">
        <v>133.41999999999999</v>
      </c>
      <c r="I23" s="14">
        <f t="shared" si="2"/>
        <v>-2.7125565115939887E-2</v>
      </c>
      <c r="J23" s="134">
        <v>805.65</v>
      </c>
      <c r="K23" s="14">
        <f t="shared" si="3"/>
        <v>-8.6253827832596164E-2</v>
      </c>
      <c r="L23" s="134">
        <v>108.34</v>
      </c>
      <c r="M23" s="14">
        <f t="shared" si="4"/>
        <v>-4.9315549315549267E-2</v>
      </c>
      <c r="N23" s="134">
        <v>467.65</v>
      </c>
      <c r="O23" s="14">
        <f t="shared" si="5"/>
        <v>-2.389897724900869E-2</v>
      </c>
    </row>
    <row r="24" spans="2:15" x14ac:dyDescent="0.35">
      <c r="B24" s="135" t="s">
        <v>344</v>
      </c>
      <c r="D24" s="58">
        <v>22904.45</v>
      </c>
      <c r="E24" s="14">
        <f t="shared" si="0"/>
        <v>3.3247840971064591E-3</v>
      </c>
      <c r="F24" s="134">
        <v>1005.75</v>
      </c>
      <c r="G24" s="14">
        <f t="shared" si="1"/>
        <v>1.5652612976521096E-2</v>
      </c>
      <c r="H24" s="134">
        <v>140.38999999999999</v>
      </c>
      <c r="I24" s="14">
        <f t="shared" si="2"/>
        <v>5.2241043321840763E-2</v>
      </c>
      <c r="J24" s="134">
        <v>850.1</v>
      </c>
      <c r="K24" s="14">
        <f t="shared" si="3"/>
        <v>5.5172841804753903E-2</v>
      </c>
      <c r="L24" s="134">
        <v>112.6</v>
      </c>
      <c r="M24" s="14">
        <f t="shared" si="4"/>
        <v>3.9320657190326624E-2</v>
      </c>
      <c r="N24" s="134">
        <v>495.75</v>
      </c>
      <c r="O24" s="14">
        <f t="shared" si="5"/>
        <v>6.008767240457602E-2</v>
      </c>
    </row>
    <row r="25" spans="2:15" x14ac:dyDescent="0.35">
      <c r="B25" s="135" t="s">
        <v>343</v>
      </c>
      <c r="D25" s="58">
        <v>23519.35</v>
      </c>
      <c r="E25" s="14">
        <f t="shared" si="0"/>
        <v>2.6846311524616251E-2</v>
      </c>
      <c r="F25" s="134">
        <v>1063.2</v>
      </c>
      <c r="G25" s="14">
        <f t="shared" si="1"/>
        <v>5.7121551081282584E-2</v>
      </c>
      <c r="H25" s="134">
        <v>154.24</v>
      </c>
      <c r="I25" s="14">
        <f t="shared" si="2"/>
        <v>9.8653750267113205E-2</v>
      </c>
      <c r="J25" s="134">
        <v>912.3</v>
      </c>
      <c r="K25" s="14">
        <f t="shared" si="3"/>
        <v>7.3167862604399447E-2</v>
      </c>
      <c r="L25" s="134">
        <v>115.18</v>
      </c>
      <c r="M25" s="14">
        <f t="shared" si="4"/>
        <v>2.2912966252220279E-2</v>
      </c>
      <c r="N25" s="134">
        <v>513.9</v>
      </c>
      <c r="O25" s="14">
        <f t="shared" si="5"/>
        <v>3.6611195158850141E-2</v>
      </c>
    </row>
    <row r="26" spans="2:15" x14ac:dyDescent="0.35">
      <c r="B26" s="135" t="s">
        <v>342</v>
      </c>
      <c r="D26" s="58">
        <v>23350.400000000001</v>
      </c>
      <c r="E26" s="14">
        <f t="shared" si="0"/>
        <v>-7.1834468214468927E-3</v>
      </c>
      <c r="F26" s="134">
        <v>1058.7</v>
      </c>
      <c r="G26" s="14">
        <f t="shared" si="1"/>
        <v>-4.2325056433408781E-3</v>
      </c>
      <c r="H26" s="134">
        <v>157.28</v>
      </c>
      <c r="I26" s="14">
        <f t="shared" si="2"/>
        <v>1.970954356846466E-2</v>
      </c>
      <c r="J26" s="134">
        <v>914.3</v>
      </c>
      <c r="K26" s="14">
        <f t="shared" si="3"/>
        <v>2.1922613175491268E-3</v>
      </c>
      <c r="L26" s="134">
        <v>115.3</v>
      </c>
      <c r="M26" s="14">
        <f t="shared" si="4"/>
        <v>1.0418475429760932E-3</v>
      </c>
      <c r="N26" s="134">
        <v>545.54999999999995</v>
      </c>
      <c r="O26" s="14">
        <f t="shared" si="5"/>
        <v>6.1587857559836534E-2</v>
      </c>
    </row>
    <row r="27" spans="2:15" x14ac:dyDescent="0.35">
      <c r="B27" s="135">
        <v>45903</v>
      </c>
      <c r="D27" s="58">
        <v>22397.200000000001</v>
      </c>
      <c r="E27" s="14">
        <f t="shared" si="0"/>
        <v>-4.0821570508428162E-2</v>
      </c>
      <c r="F27" s="134">
        <v>1001.2</v>
      </c>
      <c r="G27" s="14">
        <f t="shared" si="1"/>
        <v>-5.4311891942948942E-2</v>
      </c>
      <c r="H27" s="134">
        <v>150.88</v>
      </c>
      <c r="I27" s="14">
        <f t="shared" si="2"/>
        <v>-4.069175991861651E-2</v>
      </c>
      <c r="J27" s="134">
        <v>889.7</v>
      </c>
      <c r="K27" s="14">
        <f t="shared" si="3"/>
        <v>-2.6905829596412412E-2</v>
      </c>
      <c r="L27" s="134">
        <v>105.89</v>
      </c>
      <c r="M27" s="14">
        <f t="shared" si="4"/>
        <v>-8.1613183000867284E-2</v>
      </c>
      <c r="N27" s="134">
        <v>541.04999999999995</v>
      </c>
      <c r="O27" s="14">
        <f t="shared" si="5"/>
        <v>-8.2485565026120256E-3</v>
      </c>
    </row>
    <row r="28" spans="2:15" x14ac:dyDescent="0.35">
      <c r="B28" s="135">
        <v>45691</v>
      </c>
      <c r="D28" s="58">
        <v>22552.5</v>
      </c>
      <c r="E28" s="14">
        <f t="shared" si="0"/>
        <v>6.9339024520922443E-3</v>
      </c>
      <c r="F28" s="134">
        <v>1011.15</v>
      </c>
      <c r="G28" s="14">
        <f t="shared" si="1"/>
        <v>9.9380743108270497E-3</v>
      </c>
      <c r="H28" s="134">
        <v>151.56</v>
      </c>
      <c r="I28" s="14">
        <f t="shared" si="2"/>
        <v>4.5068928950160458E-3</v>
      </c>
      <c r="J28" s="134">
        <v>908.95</v>
      </c>
      <c r="K28" s="14">
        <f t="shared" si="3"/>
        <v>2.1636506687647605E-2</v>
      </c>
      <c r="L28" s="134">
        <v>110.91</v>
      </c>
      <c r="M28" s="14">
        <f t="shared" si="4"/>
        <v>4.7407687222589479E-2</v>
      </c>
      <c r="N28" s="134">
        <v>471.05</v>
      </c>
      <c r="O28" s="14">
        <f t="shared" si="5"/>
        <v>-0.1293780611773403</v>
      </c>
    </row>
    <row r="29" spans="2:15" x14ac:dyDescent="0.35">
      <c r="B29" s="135" t="s">
        <v>341</v>
      </c>
      <c r="D29" s="58">
        <v>22124.7</v>
      </c>
      <c r="E29" s="14">
        <f t="shared" si="0"/>
        <v>-1.8969072164948475E-2</v>
      </c>
      <c r="F29" s="134">
        <v>950.7</v>
      </c>
      <c r="G29" s="14">
        <f t="shared" si="1"/>
        <v>-5.978341492360173E-2</v>
      </c>
      <c r="H29" s="134">
        <v>137.19999999999999</v>
      </c>
      <c r="I29" s="14">
        <f t="shared" si="2"/>
        <v>-9.4747954605436835E-2</v>
      </c>
      <c r="J29" s="134">
        <v>856.15</v>
      </c>
      <c r="K29" s="14">
        <f t="shared" si="3"/>
        <v>-5.8089003795588345E-2</v>
      </c>
      <c r="L29" s="134">
        <v>105.02</v>
      </c>
      <c r="M29" s="14">
        <f t="shared" si="4"/>
        <v>-5.3106122080966545E-2</v>
      </c>
      <c r="N29" s="134">
        <v>453.55</v>
      </c>
      <c r="O29" s="14">
        <f t="shared" si="5"/>
        <v>-3.7151045536567229E-2</v>
      </c>
    </row>
    <row r="30" spans="2:15" x14ac:dyDescent="0.35">
      <c r="B30" s="135" t="s">
        <v>340</v>
      </c>
      <c r="D30" s="58">
        <v>22795.9</v>
      </c>
      <c r="E30" s="14">
        <f t="shared" si="0"/>
        <v>3.0337134514818231E-2</v>
      </c>
      <c r="F30" s="134">
        <v>981.9</v>
      </c>
      <c r="G30" s="14">
        <f t="shared" si="1"/>
        <v>3.2817923635216184E-2</v>
      </c>
      <c r="H30" s="134">
        <v>140.76</v>
      </c>
      <c r="I30" s="14">
        <f t="shared" si="2"/>
        <v>2.5947521865889334E-2</v>
      </c>
      <c r="J30" s="134">
        <v>880.35</v>
      </c>
      <c r="K30" s="14">
        <f t="shared" si="3"/>
        <v>2.8266074870057833E-2</v>
      </c>
      <c r="L30" s="134">
        <v>112.76</v>
      </c>
      <c r="M30" s="14">
        <f t="shared" si="4"/>
        <v>7.3700247571891087E-2</v>
      </c>
      <c r="N30" s="134">
        <v>489.65</v>
      </c>
      <c r="O30" s="14">
        <f t="shared" si="5"/>
        <v>7.9594311542277474E-2</v>
      </c>
    </row>
    <row r="31" spans="2:15" x14ac:dyDescent="0.35">
      <c r="B31" s="135">
        <v>45902</v>
      </c>
      <c r="D31" s="58">
        <v>22929.25</v>
      </c>
      <c r="E31" s="14">
        <f t="shared" si="0"/>
        <v>5.8497361367613188E-3</v>
      </c>
      <c r="F31" s="134">
        <v>964.6</v>
      </c>
      <c r="G31" s="14">
        <f t="shared" si="1"/>
        <v>-1.7618902128526237E-2</v>
      </c>
      <c r="H31" s="134">
        <v>134.47</v>
      </c>
      <c r="I31" s="14">
        <f t="shared" si="2"/>
        <v>-4.4685990338164228E-2</v>
      </c>
      <c r="J31" s="134">
        <v>833.3</v>
      </c>
      <c r="K31" s="14">
        <f t="shared" si="3"/>
        <v>-5.3444652694950912E-2</v>
      </c>
      <c r="L31" s="134">
        <v>105.71</v>
      </c>
      <c r="M31" s="14">
        <f t="shared" si="4"/>
        <v>-6.2522170982618031E-2</v>
      </c>
      <c r="N31" s="134">
        <v>458.05</v>
      </c>
      <c r="O31" s="14">
        <f t="shared" si="5"/>
        <v>-6.4535892984785015E-2</v>
      </c>
    </row>
    <row r="32" spans="2:15" x14ac:dyDescent="0.35">
      <c r="B32" s="135">
        <v>45690</v>
      </c>
      <c r="D32" s="58">
        <v>23559.95</v>
      </c>
      <c r="E32" s="14">
        <f t="shared" si="0"/>
        <v>2.7506351058146361E-2</v>
      </c>
      <c r="F32" s="134">
        <v>980.75</v>
      </c>
      <c r="G32" s="14">
        <f t="shared" si="1"/>
        <v>1.6742691270993149E-2</v>
      </c>
      <c r="H32" s="134">
        <v>138.31</v>
      </c>
      <c r="I32" s="14">
        <f t="shared" si="2"/>
        <v>2.8556555365509162E-2</v>
      </c>
      <c r="J32" s="134">
        <v>844.55</v>
      </c>
      <c r="K32" s="14">
        <f t="shared" si="3"/>
        <v>1.3500540021600838E-2</v>
      </c>
      <c r="L32" s="134">
        <v>110.32</v>
      </c>
      <c r="M32" s="14">
        <f t="shared" si="4"/>
        <v>4.3609876076057041E-2</v>
      </c>
      <c r="N32" s="134">
        <v>466.25</v>
      </c>
      <c r="O32" s="14">
        <f t="shared" si="5"/>
        <v>1.7901975766837719E-2</v>
      </c>
    </row>
    <row r="33" spans="2:15" x14ac:dyDescent="0.35">
      <c r="B33" s="135" t="s">
        <v>339</v>
      </c>
      <c r="D33" s="58">
        <v>23508.400000000001</v>
      </c>
      <c r="E33" s="14">
        <f t="shared" si="0"/>
        <v>-2.188035203809835E-3</v>
      </c>
      <c r="F33" s="134">
        <v>945</v>
      </c>
      <c r="G33" s="14">
        <f t="shared" si="1"/>
        <v>-3.6451695131277106E-2</v>
      </c>
      <c r="H33" s="134">
        <v>134.62</v>
      </c>
      <c r="I33" s="14">
        <f t="shared" si="2"/>
        <v>-2.6679198901019441E-2</v>
      </c>
      <c r="J33" s="134">
        <v>791.55</v>
      </c>
      <c r="K33" s="14">
        <f t="shared" si="3"/>
        <v>-6.2755313480551744E-2</v>
      </c>
      <c r="L33" s="134">
        <v>107.43</v>
      </c>
      <c r="M33" s="14">
        <f t="shared" si="4"/>
        <v>-2.6196519216823644E-2</v>
      </c>
      <c r="N33" s="134">
        <v>473.2</v>
      </c>
      <c r="O33" s="14">
        <f t="shared" si="5"/>
        <v>1.490616621983909E-2</v>
      </c>
    </row>
    <row r="34" spans="2:15" x14ac:dyDescent="0.35">
      <c r="B34" s="135" t="s">
        <v>338</v>
      </c>
      <c r="D34" s="58">
        <v>23092.2</v>
      </c>
      <c r="E34" s="14">
        <f t="shared" si="0"/>
        <v>-1.7704309948784247E-2</v>
      </c>
      <c r="F34" s="134">
        <v>932.45</v>
      </c>
      <c r="G34" s="14">
        <f t="shared" si="1"/>
        <v>-1.3280423280423226E-2</v>
      </c>
      <c r="H34" s="134">
        <v>129.74</v>
      </c>
      <c r="I34" s="14">
        <f t="shared" si="2"/>
        <v>-3.6250185707918603E-2</v>
      </c>
      <c r="J34" s="134">
        <v>882.8</v>
      </c>
      <c r="K34" s="14">
        <f t="shared" si="3"/>
        <v>0.1152801465479123</v>
      </c>
      <c r="L34" s="134">
        <v>108.17</v>
      </c>
      <c r="M34" s="14">
        <f t="shared" si="4"/>
        <v>6.8882062738526706E-3</v>
      </c>
      <c r="N34" s="134">
        <v>431.2</v>
      </c>
      <c r="O34" s="14">
        <f t="shared" si="5"/>
        <v>-8.8757396449704151E-2</v>
      </c>
    </row>
    <row r="35" spans="2:15" x14ac:dyDescent="0.35">
      <c r="B35" s="135">
        <v>45992</v>
      </c>
      <c r="D35" s="58">
        <v>23203.200000000001</v>
      </c>
      <c r="E35" s="14">
        <f t="shared" si="0"/>
        <v>4.8068178865590117E-3</v>
      </c>
      <c r="F35" s="134">
        <v>908.6</v>
      </c>
      <c r="G35" s="14">
        <f t="shared" si="1"/>
        <v>-2.5577778969381737E-2</v>
      </c>
      <c r="H35" s="134">
        <v>130.28</v>
      </c>
      <c r="I35" s="14">
        <f t="shared" si="2"/>
        <v>4.162170494835804E-3</v>
      </c>
      <c r="J35" s="134">
        <v>924.65</v>
      </c>
      <c r="K35" s="14">
        <f t="shared" si="3"/>
        <v>4.7405980969642103E-2</v>
      </c>
      <c r="L35" s="134">
        <v>108.82</v>
      </c>
      <c r="M35" s="14">
        <f t="shared" si="4"/>
        <v>6.009059813256723E-3</v>
      </c>
      <c r="N35" s="134">
        <v>426.85</v>
      </c>
      <c r="O35" s="14">
        <f t="shared" si="5"/>
        <v>-1.0088126159554678E-2</v>
      </c>
    </row>
    <row r="36" spans="2:15" x14ac:dyDescent="0.35">
      <c r="B36" s="135">
        <v>45778</v>
      </c>
      <c r="D36" s="58">
        <v>23431.5</v>
      </c>
      <c r="E36" s="14">
        <f t="shared" si="0"/>
        <v>9.8391601158460684E-3</v>
      </c>
      <c r="F36" s="134">
        <v>900.1</v>
      </c>
      <c r="G36" s="14">
        <f t="shared" si="1"/>
        <v>-9.3550517279330503E-3</v>
      </c>
      <c r="H36" s="134">
        <v>127.43</v>
      </c>
      <c r="I36" s="14">
        <f t="shared" si="2"/>
        <v>-2.187595947190657E-2</v>
      </c>
      <c r="J36" s="134">
        <v>917.7</v>
      </c>
      <c r="K36" s="14">
        <f t="shared" si="3"/>
        <v>-7.516357540691021E-3</v>
      </c>
      <c r="L36" s="134">
        <v>106.03</v>
      </c>
      <c r="M36" s="14">
        <f t="shared" si="4"/>
        <v>-2.5638669362249566E-2</v>
      </c>
      <c r="N36" s="134">
        <v>470.65</v>
      </c>
      <c r="O36" s="14">
        <f t="shared" si="5"/>
        <v>0.10261215883799912</v>
      </c>
    </row>
    <row r="37" spans="2:15" x14ac:dyDescent="0.35">
      <c r="B37" s="135" t="s">
        <v>337</v>
      </c>
      <c r="D37" s="58">
        <v>24004.75</v>
      </c>
      <c r="E37" s="14">
        <f t="shared" si="0"/>
        <v>2.4464929688666981E-2</v>
      </c>
      <c r="F37" s="134">
        <v>915.05</v>
      </c>
      <c r="G37" s="14">
        <f t="shared" si="1"/>
        <v>1.660926563715126E-2</v>
      </c>
      <c r="H37" s="134">
        <v>138.36000000000001</v>
      </c>
      <c r="I37" s="14">
        <f t="shared" si="2"/>
        <v>8.5772581024876393E-2</v>
      </c>
      <c r="J37" s="134">
        <v>957.85</v>
      </c>
      <c r="K37" s="14">
        <f t="shared" si="3"/>
        <v>4.3750681050452211E-2</v>
      </c>
      <c r="L37" s="134">
        <v>114.17</v>
      </c>
      <c r="M37" s="14">
        <f t="shared" si="4"/>
        <v>7.6770725266434026E-2</v>
      </c>
      <c r="N37" s="134">
        <v>481.15</v>
      </c>
      <c r="O37" s="14">
        <f t="shared" si="5"/>
        <v>2.2309571868692313E-2</v>
      </c>
    </row>
    <row r="38" spans="2:15" x14ac:dyDescent="0.35">
      <c r="B38" s="135" t="s">
        <v>336</v>
      </c>
      <c r="D38" s="58">
        <v>23813.4</v>
      </c>
      <c r="E38" s="14">
        <f t="shared" si="0"/>
        <v>-7.9713390058216982E-3</v>
      </c>
      <c r="F38" s="134">
        <v>913.3</v>
      </c>
      <c r="G38" s="14">
        <f t="shared" si="1"/>
        <v>-1.9124637997923744E-3</v>
      </c>
      <c r="H38" s="134">
        <v>138.91</v>
      </c>
      <c r="I38" s="14">
        <f t="shared" si="2"/>
        <v>3.9751373229255371E-3</v>
      </c>
      <c r="J38" s="134">
        <v>923.55</v>
      </c>
      <c r="K38" s="14">
        <f t="shared" si="3"/>
        <v>-3.580936472307783E-2</v>
      </c>
      <c r="L38" s="134">
        <v>115.53</v>
      </c>
      <c r="M38" s="14">
        <f t="shared" si="4"/>
        <v>1.1912060961723814E-2</v>
      </c>
      <c r="N38" s="134">
        <v>478.3</v>
      </c>
      <c r="O38" s="14">
        <f t="shared" si="5"/>
        <v>-5.9233087394782169E-3</v>
      </c>
    </row>
    <row r="39" spans="2:15" x14ac:dyDescent="0.35">
      <c r="B39" s="135" t="s">
        <v>335</v>
      </c>
      <c r="D39" s="58">
        <v>23587.5</v>
      </c>
      <c r="E39" s="14">
        <f t="shared" si="0"/>
        <v>-9.4862556375822082E-3</v>
      </c>
      <c r="F39" s="134">
        <v>917.35</v>
      </c>
      <c r="G39" s="14">
        <f t="shared" si="1"/>
        <v>4.434468411256054E-3</v>
      </c>
      <c r="H39" s="134">
        <v>140.68</v>
      </c>
      <c r="I39" s="14">
        <f t="shared" si="2"/>
        <v>1.2742063206392595E-2</v>
      </c>
      <c r="J39" s="134">
        <v>908.05</v>
      </c>
      <c r="K39" s="14">
        <f t="shared" si="3"/>
        <v>-1.6783065345676973E-2</v>
      </c>
      <c r="L39" s="134">
        <v>116.1</v>
      </c>
      <c r="M39" s="14">
        <f t="shared" si="4"/>
        <v>4.9337834328744279E-3</v>
      </c>
      <c r="N39" s="134">
        <v>469.6</v>
      </c>
      <c r="O39" s="14">
        <f t="shared" si="5"/>
        <v>-1.818942086556552E-2</v>
      </c>
    </row>
    <row r="40" spans="2:15" x14ac:dyDescent="0.35">
      <c r="B40" s="135">
        <v>45516</v>
      </c>
      <c r="D40" s="58">
        <v>24768.3</v>
      </c>
      <c r="E40" s="14">
        <f t="shared" si="0"/>
        <v>5.0060413354531041E-2</v>
      </c>
      <c r="F40" s="134">
        <v>999.85</v>
      </c>
      <c r="G40" s="14">
        <f t="shared" si="1"/>
        <v>8.9932959066877372E-2</v>
      </c>
      <c r="H40" s="134">
        <v>148.94999999999999</v>
      </c>
      <c r="I40" s="14">
        <f t="shared" si="2"/>
        <v>5.8785897071367499E-2</v>
      </c>
      <c r="J40" s="134">
        <v>998.75</v>
      </c>
      <c r="K40" s="14">
        <f t="shared" si="3"/>
        <v>9.9884367600903134E-2</v>
      </c>
      <c r="L40" s="134">
        <v>124.76</v>
      </c>
      <c r="M40" s="14">
        <f t="shared" si="4"/>
        <v>7.4590869939707316E-2</v>
      </c>
      <c r="N40" s="134">
        <v>478.15</v>
      </c>
      <c r="O40" s="14">
        <f t="shared" si="5"/>
        <v>1.8206984667802351E-2</v>
      </c>
    </row>
    <row r="41" spans="2:15" x14ac:dyDescent="0.35">
      <c r="B41" s="135">
        <v>45303</v>
      </c>
      <c r="D41" s="58">
        <v>24677.8</v>
      </c>
      <c r="E41" s="14">
        <f t="shared" si="0"/>
        <v>-3.653864011660013E-3</v>
      </c>
      <c r="F41" s="134">
        <v>1003.8</v>
      </c>
      <c r="G41" s="14">
        <f t="shared" si="1"/>
        <v>3.950592588888302E-3</v>
      </c>
      <c r="H41" s="134">
        <v>148.29</v>
      </c>
      <c r="I41" s="14">
        <f t="shared" si="2"/>
        <v>-4.4310171198388426E-3</v>
      </c>
      <c r="J41" s="134">
        <v>949.1</v>
      </c>
      <c r="K41" s="14">
        <f t="shared" si="3"/>
        <v>-4.9712140175218966E-2</v>
      </c>
      <c r="L41" s="134">
        <v>123.89</v>
      </c>
      <c r="M41" s="14">
        <f t="shared" si="4"/>
        <v>-6.9733889067008503E-3</v>
      </c>
      <c r="N41" s="134">
        <v>472.5</v>
      </c>
      <c r="O41" s="14">
        <f t="shared" si="5"/>
        <v>-1.1816375614346897E-2</v>
      </c>
    </row>
    <row r="42" spans="2:15" x14ac:dyDescent="0.35">
      <c r="B42" s="135" t="s">
        <v>334</v>
      </c>
      <c r="D42" s="58">
        <v>24131.1</v>
      </c>
      <c r="E42" s="14">
        <f t="shared" si="0"/>
        <v>-2.2153514494809179E-2</v>
      </c>
      <c r="F42" s="134">
        <v>966</v>
      </c>
      <c r="G42" s="14">
        <f t="shared" si="1"/>
        <v>-3.7656903765690308E-2</v>
      </c>
      <c r="H42" s="134">
        <v>144.54</v>
      </c>
      <c r="I42" s="14">
        <f t="shared" si="2"/>
        <v>-2.5288286465709131E-2</v>
      </c>
      <c r="J42" s="134">
        <v>906.45</v>
      </c>
      <c r="K42" s="14">
        <f t="shared" si="3"/>
        <v>-4.493730902960702E-2</v>
      </c>
      <c r="L42" s="134">
        <v>117.11</v>
      </c>
      <c r="M42" s="14">
        <f t="shared" si="4"/>
        <v>-5.4725966583259344E-2</v>
      </c>
      <c r="N42" s="134">
        <v>447</v>
      </c>
      <c r="O42" s="14">
        <f t="shared" si="5"/>
        <v>-5.3968253968253999E-2</v>
      </c>
    </row>
    <row r="43" spans="2:15" x14ac:dyDescent="0.35">
      <c r="B43" s="135" t="s">
        <v>333</v>
      </c>
      <c r="D43" s="58">
        <v>23907.25</v>
      </c>
      <c r="E43" s="14">
        <f t="shared" si="0"/>
        <v>-9.2764109385812255E-3</v>
      </c>
      <c r="F43" s="134">
        <v>977.35</v>
      </c>
      <c r="G43" s="14">
        <f t="shared" si="1"/>
        <v>1.1749482401656408E-2</v>
      </c>
      <c r="H43" s="134">
        <v>142.78</v>
      </c>
      <c r="I43" s="14">
        <f t="shared" si="2"/>
        <v>-1.217656012176549E-2</v>
      </c>
      <c r="J43" s="134">
        <v>878.95</v>
      </c>
      <c r="K43" s="14">
        <f t="shared" si="3"/>
        <v>-3.0338132274256746E-2</v>
      </c>
      <c r="L43" s="134">
        <v>112.83</v>
      </c>
      <c r="M43" s="14">
        <f t="shared" si="4"/>
        <v>-3.6546836307744912E-2</v>
      </c>
      <c r="N43" s="134">
        <v>414</v>
      </c>
      <c r="O43" s="14">
        <f t="shared" si="5"/>
        <v>-7.3825503355704702E-2</v>
      </c>
    </row>
    <row r="44" spans="2:15" x14ac:dyDescent="0.35">
      <c r="B44" s="135">
        <v>45576</v>
      </c>
      <c r="D44" s="58">
        <v>23532.7</v>
      </c>
      <c r="E44" s="14">
        <f t="shared" si="0"/>
        <v>-1.5666795637306663E-2</v>
      </c>
      <c r="F44" s="134">
        <v>939.05</v>
      </c>
      <c r="G44" s="14">
        <f t="shared" si="1"/>
        <v>-3.9187599120069638E-2</v>
      </c>
      <c r="H44" s="134">
        <v>137.97999999999999</v>
      </c>
      <c r="I44" s="14">
        <f t="shared" si="2"/>
        <v>-3.3618153803053774E-2</v>
      </c>
      <c r="J44" s="134">
        <v>877.4</v>
      </c>
      <c r="K44" s="14">
        <f t="shared" si="3"/>
        <v>-1.7634677740486771E-3</v>
      </c>
      <c r="L44" s="134">
        <v>111.84</v>
      </c>
      <c r="M44" s="14">
        <f t="shared" si="4"/>
        <v>-8.7742621643179808E-3</v>
      </c>
      <c r="N44" s="134">
        <v>428.3</v>
      </c>
      <c r="O44" s="14">
        <f t="shared" si="5"/>
        <v>3.4541062801932476E-2</v>
      </c>
    </row>
    <row r="45" spans="2:15" x14ac:dyDescent="0.35">
      <c r="B45" s="135">
        <v>45362</v>
      </c>
      <c r="D45" s="58">
        <v>24148.2</v>
      </c>
      <c r="E45" s="14">
        <f t="shared" si="0"/>
        <v>2.6155094825498049E-2</v>
      </c>
      <c r="F45" s="134">
        <v>996.4</v>
      </c>
      <c r="G45" s="14">
        <f t="shared" si="1"/>
        <v>6.1072360364197831E-2</v>
      </c>
      <c r="H45" s="134">
        <v>147.57</v>
      </c>
      <c r="I45" s="14">
        <f t="shared" si="2"/>
        <v>6.9502826496593784E-2</v>
      </c>
      <c r="J45" s="134">
        <v>928.05</v>
      </c>
      <c r="K45" s="14">
        <f t="shared" si="3"/>
        <v>5.77273763391839E-2</v>
      </c>
      <c r="L45" s="134">
        <v>118.21</v>
      </c>
      <c r="M45" s="14">
        <f t="shared" si="4"/>
        <v>5.6956366237482126E-2</v>
      </c>
      <c r="N45" s="134">
        <v>462.4</v>
      </c>
      <c r="O45" s="14">
        <f t="shared" si="5"/>
        <v>7.9617090824188663E-2</v>
      </c>
    </row>
    <row r="46" spans="2:15" x14ac:dyDescent="0.35">
      <c r="B46" s="135" t="s">
        <v>332</v>
      </c>
      <c r="D46" s="58">
        <v>24304.35</v>
      </c>
      <c r="E46" s="14">
        <f t="shared" ref="E46:E77" si="6">D46/D45-1</f>
        <v>6.4663204710908584E-3</v>
      </c>
      <c r="F46" s="134">
        <v>968.3</v>
      </c>
      <c r="G46" s="14">
        <f t="shared" ref="G46:G77" si="7">F46/F45-1</f>
        <v>-2.8201525491770352E-2</v>
      </c>
      <c r="H46" s="134">
        <v>149.75</v>
      </c>
      <c r="I46" s="14">
        <f t="shared" ref="I46:I77" si="8">H46/H45-1</f>
        <v>1.4772650267669718E-2</v>
      </c>
      <c r="J46" s="134">
        <v>929.5</v>
      </c>
      <c r="K46" s="14">
        <f t="shared" ref="K46:K77" si="9">J46/J45-1</f>
        <v>1.5624158181133385E-3</v>
      </c>
      <c r="L46" s="134">
        <v>117.75</v>
      </c>
      <c r="M46" s="14">
        <f t="shared" ref="M46:M77" si="10">L46/L45-1</f>
        <v>-3.8913797479062096E-3</v>
      </c>
      <c r="N46" s="134">
        <v>455.45</v>
      </c>
      <c r="O46" s="14">
        <f t="shared" ref="O46:O77" si="11">N46/N45-1</f>
        <v>-1.5030276816608956E-2</v>
      </c>
    </row>
    <row r="47" spans="2:15" x14ac:dyDescent="0.35">
      <c r="B47" s="135" t="s">
        <v>331</v>
      </c>
      <c r="D47" s="58">
        <v>24180.799999999999</v>
      </c>
      <c r="E47" s="14">
        <f t="shared" si="6"/>
        <v>-5.0834521392261189E-3</v>
      </c>
      <c r="F47" s="134">
        <v>943.85</v>
      </c>
      <c r="G47" s="14">
        <f t="shared" si="7"/>
        <v>-2.5250438913559825E-2</v>
      </c>
      <c r="H47" s="134">
        <v>145.86000000000001</v>
      </c>
      <c r="I47" s="14">
        <f t="shared" si="8"/>
        <v>-2.5976627712854694E-2</v>
      </c>
      <c r="J47" s="134">
        <v>899.05</v>
      </c>
      <c r="K47" s="14">
        <f t="shared" si="9"/>
        <v>-3.2759548144163597E-2</v>
      </c>
      <c r="L47" s="134">
        <v>111.48</v>
      </c>
      <c r="M47" s="14">
        <f t="shared" si="10"/>
        <v>-5.3248407643312068E-2</v>
      </c>
      <c r="N47" s="134">
        <v>462.4</v>
      </c>
      <c r="O47" s="14">
        <f t="shared" si="11"/>
        <v>1.5259633329673949E-2</v>
      </c>
    </row>
    <row r="48" spans="2:15" x14ac:dyDescent="0.35">
      <c r="B48" s="135" t="s">
        <v>330</v>
      </c>
      <c r="D48" s="58">
        <v>24854.05</v>
      </c>
      <c r="E48" s="14">
        <f t="shared" si="6"/>
        <v>2.7842337722490562E-2</v>
      </c>
      <c r="F48" s="134">
        <v>992.6</v>
      </c>
      <c r="G48" s="14">
        <f t="shared" si="7"/>
        <v>5.1650156274831716E-2</v>
      </c>
      <c r="H48" s="134">
        <v>155.38999999999999</v>
      </c>
      <c r="I48" s="14">
        <f t="shared" si="8"/>
        <v>6.53366241601534E-2</v>
      </c>
      <c r="J48" s="134">
        <v>964.5</v>
      </c>
      <c r="K48" s="14">
        <f t="shared" si="9"/>
        <v>7.2799065680440478E-2</v>
      </c>
      <c r="L48" s="134">
        <v>129.03</v>
      </c>
      <c r="M48" s="14">
        <f t="shared" si="10"/>
        <v>0.15742734122712587</v>
      </c>
      <c r="N48" s="134">
        <v>506.6</v>
      </c>
      <c r="O48" s="14">
        <f t="shared" si="11"/>
        <v>9.5588235294117752E-2</v>
      </c>
    </row>
    <row r="49" spans="2:15" x14ac:dyDescent="0.35">
      <c r="B49" s="135">
        <v>45453</v>
      </c>
      <c r="D49" s="58">
        <v>24964.25</v>
      </c>
      <c r="E49" s="14">
        <f t="shared" si="6"/>
        <v>4.4338850207512603E-3</v>
      </c>
      <c r="F49" s="134">
        <v>1012.05</v>
      </c>
      <c r="G49" s="14">
        <f t="shared" si="7"/>
        <v>1.9595003022365498E-2</v>
      </c>
      <c r="H49" s="134">
        <v>160.66</v>
      </c>
      <c r="I49" s="14">
        <f t="shared" si="8"/>
        <v>3.3914666323444198E-2</v>
      </c>
      <c r="J49" s="134">
        <v>1005.85</v>
      </c>
      <c r="K49" s="14">
        <f t="shared" si="9"/>
        <v>4.2871954380508059E-2</v>
      </c>
      <c r="L49" s="134">
        <v>134.03</v>
      </c>
      <c r="M49" s="14">
        <f t="shared" si="10"/>
        <v>3.8750678136867389E-2</v>
      </c>
      <c r="N49" s="134">
        <v>499.5</v>
      </c>
      <c r="O49" s="14">
        <f t="shared" si="11"/>
        <v>-1.4015001973944008E-2</v>
      </c>
    </row>
    <row r="50" spans="2:15" x14ac:dyDescent="0.35">
      <c r="B50" s="135" t="s">
        <v>329</v>
      </c>
      <c r="D50" s="58">
        <v>25014.6</v>
      </c>
      <c r="E50" s="14">
        <f t="shared" si="6"/>
        <v>2.0168841443264363E-3</v>
      </c>
      <c r="F50" s="134">
        <v>1033.75</v>
      </c>
      <c r="G50" s="14">
        <f t="shared" si="7"/>
        <v>2.144162837804453E-2</v>
      </c>
      <c r="H50" s="134">
        <v>166.75</v>
      </c>
      <c r="I50" s="14">
        <f t="shared" si="8"/>
        <v>3.7906137184115618E-2</v>
      </c>
      <c r="J50" s="134">
        <v>1021.1</v>
      </c>
      <c r="K50" s="14">
        <f t="shared" si="9"/>
        <v>1.5161306357806881E-2</v>
      </c>
      <c r="L50" s="134">
        <v>139.01</v>
      </c>
      <c r="M50" s="14">
        <f t="shared" si="10"/>
        <v>3.7155860628217408E-2</v>
      </c>
      <c r="N50" s="134">
        <v>480.2</v>
      </c>
      <c r="O50" s="14">
        <f t="shared" si="11"/>
        <v>-3.86386386386387E-2</v>
      </c>
    </row>
    <row r="51" spans="2:15" x14ac:dyDescent="0.35">
      <c r="B51" s="135" t="s">
        <v>328</v>
      </c>
      <c r="D51" s="58">
        <v>26178.95</v>
      </c>
      <c r="E51" s="14">
        <f t="shared" si="6"/>
        <v>4.6546816659071233E-2</v>
      </c>
      <c r="F51" s="134">
        <v>1001.55</v>
      </c>
      <c r="G51" s="14">
        <f t="shared" si="7"/>
        <v>-3.1148730350665121E-2</v>
      </c>
      <c r="H51" s="134">
        <v>166.55</v>
      </c>
      <c r="I51" s="14">
        <f t="shared" si="8"/>
        <v>-1.1994002998499953E-3</v>
      </c>
      <c r="J51" s="134">
        <v>1028.05</v>
      </c>
      <c r="K51" s="14">
        <f t="shared" si="9"/>
        <v>6.8063852707862527E-3</v>
      </c>
      <c r="L51" s="134">
        <v>140.54</v>
      </c>
      <c r="M51" s="14">
        <f t="shared" si="10"/>
        <v>1.1006402417092387E-2</v>
      </c>
      <c r="N51" s="134">
        <v>439.2</v>
      </c>
      <c r="O51" s="14">
        <f t="shared" si="11"/>
        <v>-8.5381091211994997E-2</v>
      </c>
    </row>
    <row r="52" spans="2:15" x14ac:dyDescent="0.35">
      <c r="B52" s="135" t="s">
        <v>327</v>
      </c>
      <c r="D52" s="58">
        <v>25790.95</v>
      </c>
      <c r="E52" s="14">
        <f t="shared" si="6"/>
        <v>-1.4821068071866894E-2</v>
      </c>
      <c r="F52" s="134">
        <v>981.55</v>
      </c>
      <c r="G52" s="14">
        <f t="shared" si="7"/>
        <v>-1.996904797563781E-2</v>
      </c>
      <c r="H52" s="134">
        <v>152.02000000000001</v>
      </c>
      <c r="I52" s="14">
        <f t="shared" si="8"/>
        <v>-8.7241068748123651E-2</v>
      </c>
      <c r="J52" s="134">
        <v>1009.4</v>
      </c>
      <c r="K52" s="14">
        <f t="shared" si="9"/>
        <v>-1.814114099508779E-2</v>
      </c>
      <c r="L52" s="134">
        <v>126.28</v>
      </c>
      <c r="M52" s="14">
        <f t="shared" si="10"/>
        <v>-0.10146577486836483</v>
      </c>
      <c r="N52" s="134">
        <v>418.2</v>
      </c>
      <c r="O52" s="14">
        <f t="shared" si="11"/>
        <v>-4.7814207650273222E-2</v>
      </c>
    </row>
    <row r="53" spans="2:15" x14ac:dyDescent="0.35">
      <c r="B53" s="135">
        <v>45513</v>
      </c>
      <c r="D53" s="58">
        <v>25356.5</v>
      </c>
      <c r="E53" s="14">
        <f t="shared" si="6"/>
        <v>-1.684505611464493E-2</v>
      </c>
      <c r="F53" s="134">
        <v>954.55</v>
      </c>
      <c r="G53" s="14">
        <f t="shared" si="7"/>
        <v>-2.7507513626407243E-2</v>
      </c>
      <c r="H53" s="134">
        <v>153.49</v>
      </c>
      <c r="I53" s="14">
        <f t="shared" si="8"/>
        <v>9.6697802920668874E-3</v>
      </c>
      <c r="J53" s="134">
        <v>1031.0999999999999</v>
      </c>
      <c r="K53" s="14">
        <f t="shared" si="9"/>
        <v>2.1497919556171974E-2</v>
      </c>
      <c r="L53" s="134">
        <v>132.19999999999999</v>
      </c>
      <c r="M53" s="14">
        <f t="shared" si="10"/>
        <v>4.6879949318973546E-2</v>
      </c>
      <c r="N53" s="134">
        <v>382.6</v>
      </c>
      <c r="O53" s="14">
        <f t="shared" si="11"/>
        <v>-8.5126733620277339E-2</v>
      </c>
    </row>
    <row r="54" spans="2:15" x14ac:dyDescent="0.35">
      <c r="B54" s="135">
        <v>45300</v>
      </c>
      <c r="D54" s="58">
        <v>24852.15</v>
      </c>
      <c r="E54" s="14">
        <f t="shared" si="6"/>
        <v>-1.9890363417664036E-2</v>
      </c>
      <c r="F54" s="134">
        <v>932.8</v>
      </c>
      <c r="G54" s="14">
        <f t="shared" si="7"/>
        <v>-2.2785605782829621E-2</v>
      </c>
      <c r="H54" s="134">
        <v>151.22</v>
      </c>
      <c r="I54" s="14">
        <f t="shared" si="8"/>
        <v>-1.478923708384916E-2</v>
      </c>
      <c r="J54" s="134">
        <v>953.95</v>
      </c>
      <c r="K54" s="14">
        <f t="shared" si="9"/>
        <v>-7.4823004558238648E-2</v>
      </c>
      <c r="L54" s="134">
        <v>129.38</v>
      </c>
      <c r="M54" s="14">
        <f t="shared" si="10"/>
        <v>-2.133131618759454E-2</v>
      </c>
      <c r="N54" s="134">
        <v>355.85</v>
      </c>
      <c r="O54" s="14">
        <f t="shared" si="11"/>
        <v>-6.9916361735493981E-2</v>
      </c>
    </row>
    <row r="55" spans="2:15" x14ac:dyDescent="0.35">
      <c r="B55" s="135" t="s">
        <v>326</v>
      </c>
      <c r="D55" s="58">
        <v>25235.9</v>
      </c>
      <c r="E55" s="14">
        <f t="shared" si="6"/>
        <v>1.544131996628062E-2</v>
      </c>
      <c r="F55" s="134">
        <v>941.1</v>
      </c>
      <c r="G55" s="14">
        <f t="shared" si="7"/>
        <v>8.897941680960697E-3</v>
      </c>
      <c r="H55" s="134">
        <v>152.76</v>
      </c>
      <c r="I55" s="14">
        <f t="shared" si="8"/>
        <v>1.0183838116651245E-2</v>
      </c>
      <c r="J55" s="134">
        <v>970.4</v>
      </c>
      <c r="K55" s="14">
        <f t="shared" si="9"/>
        <v>1.7244090361129949E-2</v>
      </c>
      <c r="L55" s="134">
        <v>133.69</v>
      </c>
      <c r="M55" s="14">
        <f t="shared" si="10"/>
        <v>3.3312722213634238E-2</v>
      </c>
      <c r="N55" s="134">
        <v>351.65</v>
      </c>
      <c r="O55" s="14">
        <f t="shared" si="11"/>
        <v>-1.1802725867640973E-2</v>
      </c>
    </row>
    <row r="56" spans="2:15" x14ac:dyDescent="0.35">
      <c r="B56" s="135" t="s">
        <v>325</v>
      </c>
      <c r="D56" s="58">
        <v>24823.15</v>
      </c>
      <c r="E56" s="14">
        <f t="shared" si="6"/>
        <v>-1.6355667917530181E-2</v>
      </c>
      <c r="F56" s="134">
        <v>941.05</v>
      </c>
      <c r="G56" s="14">
        <f t="shared" si="7"/>
        <v>-5.3129316757050127E-5</v>
      </c>
      <c r="H56" s="134">
        <v>154.19999999999999</v>
      </c>
      <c r="I56" s="14">
        <f t="shared" si="8"/>
        <v>9.4265514532601014E-3</v>
      </c>
      <c r="J56" s="134">
        <v>959.85</v>
      </c>
      <c r="K56" s="14">
        <f t="shared" si="9"/>
        <v>-1.0871805441055149E-2</v>
      </c>
      <c r="L56" s="134">
        <v>131.79</v>
      </c>
      <c r="M56" s="14">
        <f t="shared" si="10"/>
        <v>-1.4211982945620538E-2</v>
      </c>
      <c r="N56" s="134">
        <v>347.2</v>
      </c>
      <c r="O56" s="14">
        <f t="shared" si="11"/>
        <v>-1.2654628181430372E-2</v>
      </c>
    </row>
    <row r="57" spans="2:15" x14ac:dyDescent="0.35">
      <c r="B57" s="135">
        <v>45604</v>
      </c>
      <c r="D57" s="58">
        <v>24541.15</v>
      </c>
      <c r="E57" s="14">
        <f t="shared" si="6"/>
        <v>-1.1360363209342861E-2</v>
      </c>
      <c r="F57" s="134">
        <v>908.45</v>
      </c>
      <c r="G57" s="14">
        <f t="shared" si="7"/>
        <v>-3.4642155039583344E-2</v>
      </c>
      <c r="H57" s="134">
        <v>149.52000000000001</v>
      </c>
      <c r="I57" s="14">
        <f t="shared" si="8"/>
        <v>-3.0350194552529075E-2</v>
      </c>
      <c r="J57" s="134">
        <v>934.5</v>
      </c>
      <c r="K57" s="14">
        <f t="shared" si="9"/>
        <v>-2.6410376621347154E-2</v>
      </c>
      <c r="L57" s="134">
        <v>128.28</v>
      </c>
      <c r="M57" s="14">
        <f t="shared" si="10"/>
        <v>-2.6633280218529398E-2</v>
      </c>
      <c r="N57" s="134">
        <v>337.15</v>
      </c>
      <c r="O57" s="14">
        <f t="shared" si="11"/>
        <v>-2.8945852534562277E-2</v>
      </c>
    </row>
    <row r="58" spans="2:15" x14ac:dyDescent="0.35">
      <c r="B58" s="135">
        <v>45390</v>
      </c>
      <c r="D58" s="58">
        <v>24367.5</v>
      </c>
      <c r="E58" s="14">
        <f t="shared" si="6"/>
        <v>-7.0758705276647849E-3</v>
      </c>
      <c r="F58" s="134">
        <v>905.1</v>
      </c>
      <c r="G58" s="14">
        <f t="shared" si="7"/>
        <v>-3.6875997578292852E-3</v>
      </c>
      <c r="H58" s="134">
        <v>151.81</v>
      </c>
      <c r="I58" s="14">
        <f t="shared" si="8"/>
        <v>1.5315676832530656E-2</v>
      </c>
      <c r="J58" s="134">
        <v>916.2</v>
      </c>
      <c r="K58" s="14">
        <f t="shared" si="9"/>
        <v>-1.9582664526484717E-2</v>
      </c>
      <c r="L58" s="134">
        <v>129.35</v>
      </c>
      <c r="M58" s="14">
        <f t="shared" si="10"/>
        <v>8.3411287807919621E-3</v>
      </c>
      <c r="N58" s="134">
        <v>277.35000000000002</v>
      </c>
      <c r="O58" s="14">
        <f t="shared" si="11"/>
        <v>-0.17736912353551815</v>
      </c>
    </row>
    <row r="59" spans="2:15" x14ac:dyDescent="0.35">
      <c r="B59" s="135" t="s">
        <v>324</v>
      </c>
      <c r="D59" s="58">
        <v>24717.7</v>
      </c>
      <c r="E59" s="14">
        <f t="shared" si="6"/>
        <v>1.4371601518415877E-2</v>
      </c>
      <c r="F59" s="134">
        <v>899.55</v>
      </c>
      <c r="G59" s="14">
        <f t="shared" si="7"/>
        <v>-6.1319191249586957E-3</v>
      </c>
      <c r="H59" s="134">
        <v>158.22</v>
      </c>
      <c r="I59" s="14">
        <f t="shared" si="8"/>
        <v>4.2223832422106478E-2</v>
      </c>
      <c r="J59" s="134">
        <v>956.75</v>
      </c>
      <c r="K59" s="14">
        <f t="shared" si="9"/>
        <v>4.4258895437677248E-2</v>
      </c>
      <c r="L59" s="134">
        <v>146.22999999999999</v>
      </c>
      <c r="M59" s="14">
        <f t="shared" si="10"/>
        <v>0.13049864708156167</v>
      </c>
      <c r="N59" s="134">
        <v>259.39999999999998</v>
      </c>
      <c r="O59" s="14">
        <f t="shared" si="11"/>
        <v>-6.4719668289165422E-2</v>
      </c>
    </row>
    <row r="60" spans="2:15" x14ac:dyDescent="0.35">
      <c r="B60" s="135" t="s">
        <v>323</v>
      </c>
      <c r="D60" s="58">
        <v>24834.85</v>
      </c>
      <c r="E60" s="14">
        <f t="shared" si="6"/>
        <v>4.7395186445340354E-3</v>
      </c>
      <c r="F60" s="134">
        <v>900.55</v>
      </c>
      <c r="G60" s="14">
        <f t="shared" si="7"/>
        <v>1.1116669445834226E-3</v>
      </c>
      <c r="H60" s="134">
        <v>162.55000000000001</v>
      </c>
      <c r="I60" s="14">
        <f t="shared" si="8"/>
        <v>2.7366957401087078E-2</v>
      </c>
      <c r="J60" s="134">
        <v>972.35</v>
      </c>
      <c r="K60" s="14">
        <f t="shared" si="9"/>
        <v>1.6305199895479516E-2</v>
      </c>
      <c r="L60" s="134">
        <v>147.38999999999999</v>
      </c>
      <c r="M60" s="14">
        <f t="shared" si="10"/>
        <v>7.9327087464953205E-3</v>
      </c>
      <c r="N60" s="134">
        <v>275.05</v>
      </c>
      <c r="O60" s="14">
        <f t="shared" si="11"/>
        <v>6.03315343099462E-2</v>
      </c>
    </row>
    <row r="61" spans="2:15" x14ac:dyDescent="0.35">
      <c r="B61" s="135" t="s">
        <v>322</v>
      </c>
      <c r="D61" s="58">
        <v>24530.9</v>
      </c>
      <c r="E61" s="14">
        <f t="shared" si="6"/>
        <v>-1.2238849842056476E-2</v>
      </c>
      <c r="F61" s="134">
        <v>889.45</v>
      </c>
      <c r="G61" s="14">
        <f t="shared" si="7"/>
        <v>-1.2325800899450234E-2</v>
      </c>
      <c r="H61" s="134">
        <v>157.77000000000001</v>
      </c>
      <c r="I61" s="14">
        <f t="shared" si="8"/>
        <v>-2.9406336511842546E-2</v>
      </c>
      <c r="J61" s="134">
        <v>946.35</v>
      </c>
      <c r="K61" s="14">
        <f t="shared" si="9"/>
        <v>-2.6739342829228185E-2</v>
      </c>
      <c r="L61" s="134">
        <v>141.82</v>
      </c>
      <c r="M61" s="14">
        <f t="shared" si="10"/>
        <v>-3.7790894904674577E-2</v>
      </c>
      <c r="N61" s="134">
        <v>271.47000000000003</v>
      </c>
      <c r="O61" s="14">
        <f t="shared" si="11"/>
        <v>-1.301581530630791E-2</v>
      </c>
    </row>
    <row r="62" spans="2:15" x14ac:dyDescent="0.35">
      <c r="B62" s="135">
        <v>45480</v>
      </c>
      <c r="D62" s="58">
        <v>24502.15</v>
      </c>
      <c r="E62" s="14">
        <f t="shared" si="6"/>
        <v>-1.1719912436967128E-3</v>
      </c>
      <c r="F62" s="134">
        <v>934.4</v>
      </c>
      <c r="G62" s="14">
        <f t="shared" si="7"/>
        <v>5.0536848614312069E-2</v>
      </c>
      <c r="H62" s="134">
        <v>168.69</v>
      </c>
      <c r="I62" s="14">
        <f t="shared" si="8"/>
        <v>6.9214679596881545E-2</v>
      </c>
      <c r="J62" s="134">
        <v>1013.9</v>
      </c>
      <c r="K62" s="14">
        <f t="shared" si="9"/>
        <v>7.1379510751836017E-2</v>
      </c>
      <c r="L62" s="134">
        <v>150.41999999999999</v>
      </c>
      <c r="M62" s="14">
        <f t="shared" si="10"/>
        <v>6.0640248201946134E-2</v>
      </c>
      <c r="N62" s="134">
        <v>274.01</v>
      </c>
      <c r="O62" s="14">
        <f t="shared" si="11"/>
        <v>9.3564666445646871E-3</v>
      </c>
    </row>
    <row r="63" spans="2:15" x14ac:dyDescent="0.35">
      <c r="B63" s="135" t="s">
        <v>321</v>
      </c>
      <c r="D63" s="58">
        <v>24323.85</v>
      </c>
      <c r="E63" s="14">
        <f t="shared" si="6"/>
        <v>-7.2769124342150215E-3</v>
      </c>
      <c r="F63" s="134">
        <v>954.05</v>
      </c>
      <c r="G63" s="14">
        <f t="shared" si="7"/>
        <v>2.1029537671232834E-2</v>
      </c>
      <c r="H63" s="134">
        <v>174.71</v>
      </c>
      <c r="I63" s="14">
        <f t="shared" si="8"/>
        <v>3.5686762700812169E-2</v>
      </c>
      <c r="J63" s="134">
        <v>1050.5</v>
      </c>
      <c r="K63" s="14">
        <f t="shared" si="9"/>
        <v>3.6098234539895468E-2</v>
      </c>
      <c r="L63" s="134">
        <v>155.61000000000001</v>
      </c>
      <c r="M63" s="14">
        <f t="shared" si="10"/>
        <v>3.4503390506581688E-2</v>
      </c>
      <c r="N63" s="134">
        <v>245.99</v>
      </c>
      <c r="O63" s="14">
        <f t="shared" si="11"/>
        <v>-0.10225904164081601</v>
      </c>
    </row>
    <row r="64" spans="2:15" x14ac:dyDescent="0.35">
      <c r="B64" s="135" t="s">
        <v>320</v>
      </c>
      <c r="D64" s="58">
        <v>24010.6</v>
      </c>
      <c r="E64" s="14">
        <f t="shared" si="6"/>
        <v>-1.2878306682535867E-2</v>
      </c>
      <c r="F64" s="134">
        <v>931.5</v>
      </c>
      <c r="G64" s="14">
        <f t="shared" si="7"/>
        <v>-2.363607777370158E-2</v>
      </c>
      <c r="H64" s="134">
        <v>174.01</v>
      </c>
      <c r="I64" s="14">
        <f t="shared" si="8"/>
        <v>-4.0066395741515937E-3</v>
      </c>
      <c r="J64" s="134">
        <v>1044.4000000000001</v>
      </c>
      <c r="K64" s="14">
        <f t="shared" si="9"/>
        <v>-5.8067586863397302E-3</v>
      </c>
      <c r="L64" s="134">
        <v>148.65</v>
      </c>
      <c r="M64" s="14">
        <f t="shared" si="10"/>
        <v>-4.4727202621939521E-2</v>
      </c>
      <c r="N64" s="134">
        <v>232.58</v>
      </c>
      <c r="O64" s="14">
        <f t="shared" si="11"/>
        <v>-5.4514411154924947E-2</v>
      </c>
    </row>
    <row r="65" spans="2:15" x14ac:dyDescent="0.35">
      <c r="B65" s="135" t="s">
        <v>319</v>
      </c>
      <c r="D65" s="58">
        <v>23501.1</v>
      </c>
      <c r="E65" s="14">
        <f t="shared" si="6"/>
        <v>-2.1219794590722429E-2</v>
      </c>
      <c r="F65" s="134">
        <v>936.9</v>
      </c>
      <c r="G65" s="14">
        <f t="shared" si="7"/>
        <v>5.7971014492752548E-3</v>
      </c>
      <c r="H65" s="134">
        <v>179.94</v>
      </c>
      <c r="I65" s="14">
        <f t="shared" si="8"/>
        <v>3.4078501235561109E-2</v>
      </c>
      <c r="J65" s="134">
        <v>1077.25</v>
      </c>
      <c r="K65" s="14">
        <f t="shared" si="9"/>
        <v>3.1453466104940597E-2</v>
      </c>
      <c r="L65" s="134">
        <v>155.44</v>
      </c>
      <c r="M65" s="14">
        <f t="shared" si="10"/>
        <v>4.5677766565758393E-2</v>
      </c>
      <c r="N65" s="134">
        <v>226.35</v>
      </c>
      <c r="O65" s="14">
        <f t="shared" si="11"/>
        <v>-2.6786482070685458E-2</v>
      </c>
    </row>
    <row r="66" spans="2:15" x14ac:dyDescent="0.35">
      <c r="B66" s="135">
        <v>45541</v>
      </c>
      <c r="D66" s="58">
        <v>23465.599999999999</v>
      </c>
      <c r="E66" s="14">
        <f t="shared" si="6"/>
        <v>-1.5105675904532045E-3</v>
      </c>
      <c r="F66" s="134">
        <v>921.15</v>
      </c>
      <c r="G66" s="14">
        <f t="shared" si="7"/>
        <v>-1.6810758885686838E-2</v>
      </c>
      <c r="H66" s="134">
        <v>183.15</v>
      </c>
      <c r="I66" s="14">
        <f t="shared" si="8"/>
        <v>1.7839279759920057E-2</v>
      </c>
      <c r="J66" s="134">
        <v>1052.45</v>
      </c>
      <c r="K66" s="14">
        <f t="shared" si="9"/>
        <v>-2.302158273381294E-2</v>
      </c>
      <c r="L66" s="134">
        <v>153.63</v>
      </c>
      <c r="M66" s="14">
        <f t="shared" si="10"/>
        <v>-1.1644364384971739E-2</v>
      </c>
      <c r="N66" s="134">
        <v>236.05</v>
      </c>
      <c r="O66" s="14">
        <f t="shared" si="11"/>
        <v>4.2853987187983389E-2</v>
      </c>
    </row>
    <row r="67" spans="2:15" x14ac:dyDescent="0.35">
      <c r="B67" s="135">
        <v>45328</v>
      </c>
      <c r="D67" s="58">
        <v>23290.15</v>
      </c>
      <c r="E67" s="14">
        <f t="shared" si="6"/>
        <v>-7.4769023591980677E-3</v>
      </c>
      <c r="F67" s="134">
        <v>912.15</v>
      </c>
      <c r="G67" s="14">
        <f t="shared" si="7"/>
        <v>-9.7703957010258913E-3</v>
      </c>
      <c r="H67" s="134">
        <v>178.9</v>
      </c>
      <c r="I67" s="14">
        <f t="shared" si="8"/>
        <v>-2.3205023205023156E-2</v>
      </c>
      <c r="J67" s="134">
        <v>1026.95</v>
      </c>
      <c r="K67" s="14">
        <f t="shared" si="9"/>
        <v>-2.422917953346948E-2</v>
      </c>
      <c r="L67" s="134">
        <v>152.75</v>
      </c>
      <c r="M67" s="14">
        <f t="shared" si="10"/>
        <v>-5.7280479073097412E-3</v>
      </c>
      <c r="N67" s="134">
        <v>220.75</v>
      </c>
      <c r="O67" s="14">
        <f t="shared" si="11"/>
        <v>-6.4816776106757068E-2</v>
      </c>
    </row>
    <row r="68" spans="2:15" x14ac:dyDescent="0.35">
      <c r="B68" s="135" t="s">
        <v>318</v>
      </c>
      <c r="D68" s="58">
        <v>22530.7</v>
      </c>
      <c r="E68" s="14">
        <f t="shared" si="6"/>
        <v>-3.2608205614820029E-2</v>
      </c>
      <c r="F68" s="134">
        <v>880.55</v>
      </c>
      <c r="G68" s="14">
        <f t="shared" si="7"/>
        <v>-3.4643424875294704E-2</v>
      </c>
      <c r="H68" s="134">
        <v>167.2</v>
      </c>
      <c r="I68" s="14">
        <f t="shared" si="8"/>
        <v>-6.5399664617104669E-2</v>
      </c>
      <c r="J68" s="134">
        <v>1028.1500000000001</v>
      </c>
      <c r="K68" s="14">
        <f t="shared" si="9"/>
        <v>1.168508690783332E-3</v>
      </c>
      <c r="L68" s="134">
        <v>158.5</v>
      </c>
      <c r="M68" s="14">
        <f t="shared" si="10"/>
        <v>3.7643207855973859E-2</v>
      </c>
      <c r="N68" s="134">
        <v>223.95</v>
      </c>
      <c r="O68" s="14">
        <f t="shared" si="11"/>
        <v>1.4496036240090548E-2</v>
      </c>
    </row>
    <row r="69" spans="2:15" x14ac:dyDescent="0.35">
      <c r="B69" s="135" t="s">
        <v>317</v>
      </c>
      <c r="D69" s="58">
        <v>22957.1</v>
      </c>
      <c r="E69" s="14">
        <f t="shared" si="6"/>
        <v>1.8925288606212787E-2</v>
      </c>
      <c r="F69" s="134">
        <v>908.65</v>
      </c>
      <c r="G69" s="14">
        <f t="shared" si="7"/>
        <v>3.1911873261029955E-2</v>
      </c>
      <c r="H69" s="134">
        <v>174.85</v>
      </c>
      <c r="I69" s="14">
        <f t="shared" si="8"/>
        <v>4.575358851674638E-2</v>
      </c>
      <c r="J69" s="134">
        <v>1069.2</v>
      </c>
      <c r="K69" s="14">
        <f t="shared" si="9"/>
        <v>3.9926080824782328E-2</v>
      </c>
      <c r="L69" s="134">
        <v>169.5</v>
      </c>
      <c r="M69" s="14">
        <f t="shared" si="10"/>
        <v>6.9400630914826511E-2</v>
      </c>
      <c r="N69" s="134">
        <v>264.10000000000002</v>
      </c>
      <c r="O69" s="14">
        <f t="shared" si="11"/>
        <v>0.17928108952891297</v>
      </c>
    </row>
    <row r="70" spans="2:15" x14ac:dyDescent="0.35">
      <c r="B70" s="135">
        <v>45631</v>
      </c>
      <c r="D70" s="58">
        <v>22466.1</v>
      </c>
      <c r="E70" s="14">
        <f t="shared" si="6"/>
        <v>-2.1387718832082458E-2</v>
      </c>
      <c r="F70" s="134">
        <v>907.45</v>
      </c>
      <c r="G70" s="14">
        <f t="shared" si="7"/>
        <v>-1.3206405106476193E-3</v>
      </c>
      <c r="H70" s="134">
        <v>167.35</v>
      </c>
      <c r="I70" s="14">
        <f t="shared" si="8"/>
        <v>-4.289390906491275E-2</v>
      </c>
      <c r="J70" s="134">
        <v>1015.5</v>
      </c>
      <c r="K70" s="14">
        <f t="shared" si="9"/>
        <v>-5.0224466891133579E-2</v>
      </c>
      <c r="L70" s="134">
        <v>166.9</v>
      </c>
      <c r="M70" s="14">
        <f t="shared" si="10"/>
        <v>-1.5339233038348055E-2</v>
      </c>
      <c r="N70" s="134">
        <v>267.14999999999998</v>
      </c>
      <c r="O70" s="14">
        <f t="shared" si="11"/>
        <v>1.1548655812192221E-2</v>
      </c>
    </row>
    <row r="71" spans="2:15" x14ac:dyDescent="0.35">
      <c r="B71" s="135">
        <v>45417</v>
      </c>
      <c r="D71" s="58">
        <v>22055.200000000001</v>
      </c>
      <c r="E71" s="14">
        <f t="shared" si="6"/>
        <v>-1.8289778822314418E-2</v>
      </c>
      <c r="F71" s="134">
        <v>853.6</v>
      </c>
      <c r="G71" s="14">
        <f t="shared" si="7"/>
        <v>-5.9342112513086187E-2</v>
      </c>
      <c r="H71" s="134">
        <v>162.25</v>
      </c>
      <c r="I71" s="14">
        <f t="shared" si="8"/>
        <v>-3.0475052285628856E-2</v>
      </c>
      <c r="J71" s="134">
        <v>930.55</v>
      </c>
      <c r="K71" s="14">
        <f t="shared" si="9"/>
        <v>-8.3653372722796715E-2</v>
      </c>
      <c r="L71" s="134">
        <v>156.9</v>
      </c>
      <c r="M71" s="14">
        <f t="shared" si="10"/>
        <v>-5.9916117435590222E-2</v>
      </c>
      <c r="N71" s="134">
        <v>268.95</v>
      </c>
      <c r="O71" s="14">
        <f t="shared" si="11"/>
        <v>6.7377877596856983E-3</v>
      </c>
    </row>
    <row r="72" spans="2:15" x14ac:dyDescent="0.35">
      <c r="B72" s="135" t="s">
        <v>316</v>
      </c>
      <c r="D72" s="58">
        <v>22475.85</v>
      </c>
      <c r="E72" s="14">
        <f t="shared" si="6"/>
        <v>1.9072599659037293E-2</v>
      </c>
      <c r="F72" s="134">
        <v>874.2</v>
      </c>
      <c r="G72" s="14">
        <f t="shared" si="7"/>
        <v>2.4133083411433942E-2</v>
      </c>
      <c r="H72" s="134">
        <v>166.5</v>
      </c>
      <c r="I72" s="14">
        <f t="shared" si="8"/>
        <v>2.6194144838212585E-2</v>
      </c>
      <c r="J72" s="134">
        <v>931.5</v>
      </c>
      <c r="K72" s="14">
        <f t="shared" si="9"/>
        <v>1.0209016173230445E-3</v>
      </c>
      <c r="L72" s="134">
        <v>167.95</v>
      </c>
      <c r="M72" s="14">
        <f t="shared" si="10"/>
        <v>7.0427023581899117E-2</v>
      </c>
      <c r="N72" s="134">
        <v>267.45</v>
      </c>
      <c r="O72" s="14">
        <f t="shared" si="11"/>
        <v>-5.5772448410484898E-3</v>
      </c>
    </row>
    <row r="73" spans="2:15" x14ac:dyDescent="0.35">
      <c r="B73" s="135" t="s">
        <v>315</v>
      </c>
      <c r="D73" s="58">
        <v>22419.95</v>
      </c>
      <c r="E73" s="14">
        <f t="shared" si="6"/>
        <v>-2.4871139467471659E-3</v>
      </c>
      <c r="F73" s="134">
        <v>887.25</v>
      </c>
      <c r="G73" s="14">
        <f t="shared" si="7"/>
        <v>1.4927934111187424E-2</v>
      </c>
      <c r="H73" s="134">
        <v>165.8</v>
      </c>
      <c r="I73" s="14">
        <f t="shared" si="8"/>
        <v>-4.2042042042040872E-3</v>
      </c>
      <c r="J73" s="134">
        <v>931.85</v>
      </c>
      <c r="K73" s="14">
        <f t="shared" si="9"/>
        <v>3.7573805689761208E-4</v>
      </c>
      <c r="L73" s="134">
        <v>168.55</v>
      </c>
      <c r="M73" s="14">
        <f t="shared" si="10"/>
        <v>3.5724918130397576E-3</v>
      </c>
      <c r="N73" s="134">
        <v>232.15</v>
      </c>
      <c r="O73" s="14">
        <f t="shared" si="11"/>
        <v>-0.13198728734342857</v>
      </c>
    </row>
    <row r="74" spans="2:15" x14ac:dyDescent="0.35">
      <c r="B74" s="135" t="s">
        <v>314</v>
      </c>
      <c r="D74" s="58">
        <v>22147</v>
      </c>
      <c r="E74" s="14">
        <f t="shared" si="6"/>
        <v>-1.2174425009868428E-2</v>
      </c>
      <c r="F74" s="134">
        <v>864.8</v>
      </c>
      <c r="G74" s="14">
        <f t="shared" si="7"/>
        <v>-2.5302902225979196E-2</v>
      </c>
      <c r="H74" s="134">
        <v>162.1</v>
      </c>
      <c r="I74" s="14">
        <f t="shared" si="8"/>
        <v>-2.231604342581428E-2</v>
      </c>
      <c r="J74" s="134">
        <v>927.25</v>
      </c>
      <c r="K74" s="14">
        <f t="shared" si="9"/>
        <v>-4.9364168052798973E-3</v>
      </c>
      <c r="L74" s="134">
        <v>146.05000000000001</v>
      </c>
      <c r="M74" s="14">
        <f t="shared" si="10"/>
        <v>-0.1334915455354494</v>
      </c>
      <c r="N74" s="134">
        <v>222.75</v>
      </c>
      <c r="O74" s="14">
        <f t="shared" si="11"/>
        <v>-4.049106181348272E-2</v>
      </c>
    </row>
    <row r="75" spans="2:15" x14ac:dyDescent="0.35">
      <c r="B75" s="135">
        <v>45477</v>
      </c>
      <c r="D75" s="58">
        <v>22519.4</v>
      </c>
      <c r="E75" s="14">
        <f t="shared" si="6"/>
        <v>1.6814918499119536E-2</v>
      </c>
      <c r="F75" s="134">
        <v>866.45</v>
      </c>
      <c r="G75" s="14">
        <f t="shared" si="7"/>
        <v>1.9079555966698969E-3</v>
      </c>
      <c r="H75" s="134">
        <v>163.5</v>
      </c>
      <c r="I75" s="14">
        <f t="shared" si="8"/>
        <v>8.6366440468845784E-3</v>
      </c>
      <c r="J75" s="134">
        <v>897.55</v>
      </c>
      <c r="K75" s="14">
        <f t="shared" si="9"/>
        <v>-3.2030196818549572E-2</v>
      </c>
      <c r="L75" s="134">
        <v>155.35</v>
      </c>
      <c r="M75" s="14">
        <f t="shared" si="10"/>
        <v>6.3676823005819783E-2</v>
      </c>
      <c r="N75" s="134">
        <v>227.4</v>
      </c>
      <c r="O75" s="14">
        <f t="shared" si="11"/>
        <v>2.0875420875420936E-2</v>
      </c>
    </row>
    <row r="76" spans="2:15" x14ac:dyDescent="0.35">
      <c r="B76" s="135" t="s">
        <v>313</v>
      </c>
      <c r="D76" s="58">
        <v>22513.7</v>
      </c>
      <c r="E76" s="14">
        <f t="shared" si="6"/>
        <v>-2.5311509187642134E-4</v>
      </c>
      <c r="F76" s="134">
        <v>857.1</v>
      </c>
      <c r="G76" s="14">
        <f t="shared" si="7"/>
        <v>-1.0791159328293665E-2</v>
      </c>
      <c r="H76" s="134">
        <v>163.35</v>
      </c>
      <c r="I76" s="14">
        <f t="shared" si="8"/>
        <v>-9.1743119266063378E-4</v>
      </c>
      <c r="J76" s="134">
        <v>915.75</v>
      </c>
      <c r="K76" s="14">
        <f t="shared" si="9"/>
        <v>2.0277421870647849E-2</v>
      </c>
      <c r="L76" s="134">
        <v>146.19999999999999</v>
      </c>
      <c r="M76" s="14">
        <f t="shared" si="10"/>
        <v>-5.8899259736079901E-2</v>
      </c>
      <c r="N76" s="134">
        <v>219.3</v>
      </c>
      <c r="O76" s="14">
        <f t="shared" si="11"/>
        <v>-3.5620052770448551E-2</v>
      </c>
    </row>
    <row r="77" spans="2:15" x14ac:dyDescent="0.35">
      <c r="B77" s="135" t="s">
        <v>312</v>
      </c>
      <c r="D77" s="58">
        <v>22326.9</v>
      </c>
      <c r="E77" s="14">
        <f t="shared" si="6"/>
        <v>-8.2971701674979803E-3</v>
      </c>
      <c r="F77" s="134">
        <v>830.2</v>
      </c>
      <c r="G77" s="14">
        <f t="shared" si="7"/>
        <v>-3.138490257846227E-2</v>
      </c>
      <c r="H77" s="134">
        <v>155.85</v>
      </c>
      <c r="I77" s="14">
        <f t="shared" si="8"/>
        <v>-4.5913682277318624E-2</v>
      </c>
      <c r="J77" s="134">
        <v>849.15</v>
      </c>
      <c r="K77" s="14">
        <f t="shared" si="9"/>
        <v>-7.2727272727272751E-2</v>
      </c>
      <c r="L77" s="134">
        <v>134.25</v>
      </c>
      <c r="M77" s="14">
        <f t="shared" si="10"/>
        <v>-8.1737346101231068E-2</v>
      </c>
      <c r="N77" s="134">
        <v>202.85</v>
      </c>
      <c r="O77" s="14">
        <f t="shared" si="11"/>
        <v>-7.5011399908800791E-2</v>
      </c>
    </row>
    <row r="78" spans="2:15" x14ac:dyDescent="0.35">
      <c r="B78" s="135" t="s">
        <v>311</v>
      </c>
      <c r="D78" s="58">
        <v>22096.75</v>
      </c>
      <c r="E78" s="14">
        <f t="shared" ref="E78:E109" si="12">D78/D77-1</f>
        <v>-1.0308193255669229E-2</v>
      </c>
      <c r="F78" s="134">
        <v>824.8</v>
      </c>
      <c r="G78" s="14">
        <f t="shared" ref="G78:G109" si="13">F78/F77-1</f>
        <v>-6.5044567574079615E-3</v>
      </c>
      <c r="H78" s="134">
        <v>151.80000000000001</v>
      </c>
      <c r="I78" s="14">
        <f t="shared" ref="I78:I109" si="14">H78/H77-1</f>
        <v>-2.5986525505293456E-2</v>
      </c>
      <c r="J78" s="134">
        <v>832.9</v>
      </c>
      <c r="K78" s="14">
        <f t="shared" ref="K78:K109" si="15">J78/J77-1</f>
        <v>-1.913678384266615E-2</v>
      </c>
      <c r="L78" s="134">
        <v>130</v>
      </c>
      <c r="M78" s="14">
        <f t="shared" ref="M78:M109" si="16">L78/L77-1</f>
        <v>-3.1657355679702071E-2</v>
      </c>
      <c r="N78" s="134">
        <v>217.1</v>
      </c>
      <c r="O78" s="14">
        <f t="shared" ref="O78:O109" si="17">N78/N77-1</f>
        <v>7.0248952427902411E-2</v>
      </c>
    </row>
    <row r="79" spans="2:15" x14ac:dyDescent="0.35">
      <c r="B79" s="135">
        <v>45568</v>
      </c>
      <c r="D79" s="58">
        <v>22023.35</v>
      </c>
      <c r="E79" s="14">
        <f t="shared" si="12"/>
        <v>-3.3217554617761547E-3</v>
      </c>
      <c r="F79" s="134">
        <v>780.65</v>
      </c>
      <c r="G79" s="14">
        <f t="shared" si="13"/>
        <v>-5.3528128031037792E-2</v>
      </c>
      <c r="H79" s="134">
        <v>141.69999999999999</v>
      </c>
      <c r="I79" s="14">
        <f t="shared" si="14"/>
        <v>-6.6534914361001452E-2</v>
      </c>
      <c r="J79" s="134">
        <v>767.75</v>
      </c>
      <c r="K79" s="14">
        <f t="shared" si="15"/>
        <v>-7.8220674750870467E-2</v>
      </c>
      <c r="L79" s="134">
        <v>121.7</v>
      </c>
      <c r="M79" s="14">
        <f t="shared" si="16"/>
        <v>-6.3846153846153775E-2</v>
      </c>
      <c r="N79" s="134">
        <v>199.95</v>
      </c>
      <c r="O79" s="14">
        <f t="shared" si="17"/>
        <v>-7.8995854444956271E-2</v>
      </c>
    </row>
    <row r="80" spans="2:15" x14ac:dyDescent="0.35">
      <c r="B80" s="135">
        <v>45354</v>
      </c>
      <c r="D80" s="58">
        <v>22493.55</v>
      </c>
      <c r="E80" s="14">
        <f t="shared" si="12"/>
        <v>2.1350067087886337E-2</v>
      </c>
      <c r="F80" s="134">
        <v>830</v>
      </c>
      <c r="G80" s="14">
        <f t="shared" si="13"/>
        <v>6.3216550310638553E-2</v>
      </c>
      <c r="H80" s="134">
        <v>157.25</v>
      </c>
      <c r="I80" s="14">
        <f t="shared" si="14"/>
        <v>0.1097388849682428</v>
      </c>
      <c r="J80" s="134">
        <v>839</v>
      </c>
      <c r="K80" s="14">
        <f t="shared" si="15"/>
        <v>9.2803647020514468E-2</v>
      </c>
      <c r="L80" s="134">
        <v>138.94999999999999</v>
      </c>
      <c r="M80" s="14">
        <f t="shared" si="16"/>
        <v>0.14174198849630226</v>
      </c>
      <c r="N80" s="134">
        <v>208.7</v>
      </c>
      <c r="O80" s="14">
        <f t="shared" si="17"/>
        <v>4.3760940235058721E-2</v>
      </c>
    </row>
    <row r="81" spans="2:15" x14ac:dyDescent="0.35">
      <c r="B81" s="135" t="s">
        <v>310</v>
      </c>
      <c r="D81" s="58">
        <v>22338.75</v>
      </c>
      <c r="E81" s="14">
        <f t="shared" si="12"/>
        <v>-6.8819728322118134E-3</v>
      </c>
      <c r="F81" s="134">
        <v>836.2</v>
      </c>
      <c r="G81" s="14">
        <f t="shared" si="13"/>
        <v>7.4698795180723199E-3</v>
      </c>
      <c r="H81" s="134">
        <v>149.94999999999999</v>
      </c>
      <c r="I81" s="14">
        <f t="shared" si="14"/>
        <v>-4.6422893481717131E-2</v>
      </c>
      <c r="J81" s="134">
        <v>822.85</v>
      </c>
      <c r="K81" s="14">
        <f t="shared" si="15"/>
        <v>-1.9249106078665035E-2</v>
      </c>
      <c r="L81" s="134">
        <v>133</v>
      </c>
      <c r="M81" s="14">
        <f t="shared" si="16"/>
        <v>-4.282115869017622E-2</v>
      </c>
      <c r="N81" s="134">
        <v>215.7</v>
      </c>
      <c r="O81" s="14">
        <f t="shared" si="17"/>
        <v>3.3540967896502183E-2</v>
      </c>
    </row>
    <row r="82" spans="2:15" x14ac:dyDescent="0.35">
      <c r="B82" s="135" t="s">
        <v>309</v>
      </c>
      <c r="D82" s="58">
        <v>22212.7</v>
      </c>
      <c r="E82" s="14">
        <f t="shared" si="12"/>
        <v>-5.6426612948351496E-3</v>
      </c>
      <c r="F82" s="134">
        <v>821</v>
      </c>
      <c r="G82" s="14">
        <f t="shared" si="13"/>
        <v>-1.8177469504903176E-2</v>
      </c>
      <c r="H82" s="134">
        <v>145.44999999999999</v>
      </c>
      <c r="I82" s="14">
        <f t="shared" si="14"/>
        <v>-3.0010003334444812E-2</v>
      </c>
      <c r="J82" s="134">
        <v>786.55</v>
      </c>
      <c r="K82" s="14">
        <f t="shared" si="15"/>
        <v>-4.4114966275748957E-2</v>
      </c>
      <c r="L82" s="134">
        <v>128</v>
      </c>
      <c r="M82" s="14">
        <f t="shared" si="16"/>
        <v>-3.7593984962406068E-2</v>
      </c>
      <c r="N82" s="134">
        <v>214.25</v>
      </c>
      <c r="O82" s="14">
        <f t="shared" si="17"/>
        <v>-6.7222994900324462E-3</v>
      </c>
    </row>
    <row r="83" spans="2:15" x14ac:dyDescent="0.35">
      <c r="B83" s="135">
        <v>45598</v>
      </c>
      <c r="D83" s="58">
        <v>22040.7</v>
      </c>
      <c r="E83" s="14">
        <f t="shared" si="12"/>
        <v>-7.7433180117680855E-3</v>
      </c>
      <c r="F83" s="134">
        <v>819.95</v>
      </c>
      <c r="G83" s="14">
        <f t="shared" si="13"/>
        <v>-1.2789281364189442E-3</v>
      </c>
      <c r="H83" s="134">
        <v>142.30000000000001</v>
      </c>
      <c r="I83" s="14">
        <f t="shared" si="14"/>
        <v>-2.1656926778961694E-2</v>
      </c>
      <c r="J83" s="134">
        <v>769.5</v>
      </c>
      <c r="K83" s="14">
        <f t="shared" si="15"/>
        <v>-2.1676943614518995E-2</v>
      </c>
      <c r="L83" s="134">
        <v>127.45</v>
      </c>
      <c r="M83" s="14">
        <f t="shared" si="16"/>
        <v>-4.2968749999999778E-3</v>
      </c>
      <c r="N83" s="134">
        <v>228.55</v>
      </c>
      <c r="O83" s="14">
        <f t="shared" si="17"/>
        <v>6.6744457409568358E-2</v>
      </c>
    </row>
    <row r="84" spans="2:15" x14ac:dyDescent="0.35">
      <c r="B84" s="135">
        <v>45384</v>
      </c>
      <c r="D84" s="58">
        <v>21782.5</v>
      </c>
      <c r="E84" s="14">
        <f t="shared" si="12"/>
        <v>-1.1714691457167858E-2</v>
      </c>
      <c r="F84" s="134">
        <v>811.75</v>
      </c>
      <c r="G84" s="14">
        <f t="shared" si="13"/>
        <v>-1.0000609793280102E-2</v>
      </c>
      <c r="H84" s="134">
        <v>141.30000000000001</v>
      </c>
      <c r="I84" s="14">
        <f t="shared" si="14"/>
        <v>-7.0274068868587669E-3</v>
      </c>
      <c r="J84" s="134">
        <v>761.45</v>
      </c>
      <c r="K84" s="14">
        <f t="shared" si="15"/>
        <v>-1.0461338531513875E-2</v>
      </c>
      <c r="L84" s="134">
        <v>133.65</v>
      </c>
      <c r="M84" s="14">
        <f t="shared" si="16"/>
        <v>4.8646528050215743E-2</v>
      </c>
      <c r="N84" s="134">
        <v>220.65</v>
      </c>
      <c r="O84" s="14">
        <f t="shared" si="17"/>
        <v>-3.4565740538175516E-2</v>
      </c>
    </row>
    <row r="85" spans="2:15" x14ac:dyDescent="0.35">
      <c r="B85" s="135" t="s">
        <v>308</v>
      </c>
      <c r="D85" s="58">
        <v>21853.8</v>
      </c>
      <c r="E85" s="14">
        <f t="shared" si="12"/>
        <v>3.273269826695735E-3</v>
      </c>
      <c r="F85" s="134">
        <v>823.55</v>
      </c>
      <c r="G85" s="14">
        <f t="shared" si="13"/>
        <v>1.4536495226362689E-2</v>
      </c>
      <c r="H85" s="134">
        <v>138.69999999999999</v>
      </c>
      <c r="I85" s="14">
        <f t="shared" si="14"/>
        <v>-1.8400566171266952E-2</v>
      </c>
      <c r="J85" s="134">
        <v>776</v>
      </c>
      <c r="K85" s="14">
        <f t="shared" si="15"/>
        <v>1.9108280254777066E-2</v>
      </c>
      <c r="L85" s="134">
        <v>128.30000000000001</v>
      </c>
      <c r="M85" s="14">
        <f t="shared" si="16"/>
        <v>-4.0029928918817737E-2</v>
      </c>
      <c r="N85" s="134">
        <v>247.3</v>
      </c>
      <c r="O85" s="14">
        <f t="shared" si="17"/>
        <v>0.120779515069114</v>
      </c>
    </row>
    <row r="86" spans="2:15" x14ac:dyDescent="0.35">
      <c r="B86" s="135" t="s">
        <v>307</v>
      </c>
      <c r="D86" s="58">
        <v>21352.6</v>
      </c>
      <c r="E86" s="14">
        <f t="shared" si="12"/>
        <v>-2.2934226541837188E-2</v>
      </c>
      <c r="F86" s="134">
        <v>815.7</v>
      </c>
      <c r="G86" s="14">
        <f t="shared" si="13"/>
        <v>-9.5319045595287921E-3</v>
      </c>
      <c r="H86" s="134">
        <v>133.75</v>
      </c>
      <c r="I86" s="14">
        <f t="shared" si="14"/>
        <v>-3.5688536409516858E-2</v>
      </c>
      <c r="J86" s="134">
        <v>716.3</v>
      </c>
      <c r="K86" s="14">
        <f t="shared" si="15"/>
        <v>-7.6932989690721709E-2</v>
      </c>
      <c r="L86" s="134">
        <v>119.1</v>
      </c>
      <c r="M86" s="14">
        <f t="shared" si="16"/>
        <v>-7.1706936866718807E-2</v>
      </c>
      <c r="N86" s="134">
        <v>231.75</v>
      </c>
      <c r="O86" s="14">
        <f t="shared" si="17"/>
        <v>-6.2879094217549558E-2</v>
      </c>
    </row>
    <row r="87" spans="2:15" x14ac:dyDescent="0.35">
      <c r="B87" s="135" t="s">
        <v>306</v>
      </c>
      <c r="D87" s="58">
        <v>21622.400000000001</v>
      </c>
      <c r="E87" s="14">
        <f t="shared" si="12"/>
        <v>1.2635463596939234E-2</v>
      </c>
      <c r="F87" s="134">
        <v>816.65</v>
      </c>
      <c r="G87" s="14">
        <f t="shared" si="13"/>
        <v>1.1646438641657042E-3</v>
      </c>
      <c r="H87" s="134">
        <v>134.25</v>
      </c>
      <c r="I87" s="14">
        <f t="shared" si="14"/>
        <v>3.7383177570093906E-3</v>
      </c>
      <c r="J87" s="134">
        <v>729.25</v>
      </c>
      <c r="K87" s="14">
        <f t="shared" si="15"/>
        <v>1.8079017171576117E-2</v>
      </c>
      <c r="L87" s="134">
        <v>114.1</v>
      </c>
      <c r="M87" s="14">
        <f t="shared" si="16"/>
        <v>-4.1981528127623902E-2</v>
      </c>
      <c r="N87" s="134">
        <v>255.85</v>
      </c>
      <c r="O87" s="14">
        <f t="shared" si="17"/>
        <v>0.10399137001078751</v>
      </c>
    </row>
    <row r="88" spans="2:15" x14ac:dyDescent="0.35">
      <c r="B88" s="135">
        <v>45474</v>
      </c>
      <c r="D88" s="58">
        <v>21894.55</v>
      </c>
      <c r="E88" s="14">
        <f t="shared" si="12"/>
        <v>1.2586484386561958E-2</v>
      </c>
      <c r="F88" s="134">
        <v>825.8</v>
      </c>
      <c r="G88" s="14">
        <f t="shared" si="13"/>
        <v>1.1204310292046715E-2</v>
      </c>
      <c r="H88" s="134">
        <v>135.30000000000001</v>
      </c>
      <c r="I88" s="14">
        <f t="shared" si="14"/>
        <v>7.8212290502794879E-3</v>
      </c>
      <c r="J88" s="134">
        <v>735.9</v>
      </c>
      <c r="K88" s="14">
        <f t="shared" si="15"/>
        <v>9.1189578333903398E-3</v>
      </c>
      <c r="L88" s="134">
        <v>114.9</v>
      </c>
      <c r="M88" s="14">
        <f t="shared" si="16"/>
        <v>7.0113935144611172E-3</v>
      </c>
      <c r="N88" s="134">
        <v>247.45</v>
      </c>
      <c r="O88" s="14">
        <f t="shared" si="17"/>
        <v>-3.2831737346101231E-2</v>
      </c>
    </row>
    <row r="89" spans="2:15" x14ac:dyDescent="0.35">
      <c r="B89" s="135" t="s">
        <v>305</v>
      </c>
      <c r="D89" s="58">
        <v>21710.799999999999</v>
      </c>
      <c r="E89" s="14">
        <f t="shared" si="12"/>
        <v>-8.3924995033010097E-3</v>
      </c>
      <c r="F89" s="134">
        <v>829.4</v>
      </c>
      <c r="G89" s="14">
        <f t="shared" si="13"/>
        <v>4.3594090578833455E-3</v>
      </c>
      <c r="H89" s="134">
        <v>133.65</v>
      </c>
      <c r="I89" s="14">
        <f t="shared" si="14"/>
        <v>-1.2195121951219523E-2</v>
      </c>
      <c r="J89" s="134">
        <v>735.75</v>
      </c>
      <c r="K89" s="14">
        <f t="shared" si="15"/>
        <v>-2.0383204239704522E-4</v>
      </c>
      <c r="L89" s="134">
        <v>116.95</v>
      </c>
      <c r="M89" s="14">
        <f t="shared" si="16"/>
        <v>1.7841601392515116E-2</v>
      </c>
      <c r="N89" s="134">
        <v>251.15</v>
      </c>
      <c r="O89" s="14">
        <f t="shared" si="17"/>
        <v>1.4952515659729215E-2</v>
      </c>
    </row>
    <row r="90" spans="2:15" x14ac:dyDescent="0.35">
      <c r="B90" s="135" t="s">
        <v>304</v>
      </c>
      <c r="D90" s="58">
        <v>21731.4</v>
      </c>
      <c r="E90" s="14">
        <f t="shared" si="12"/>
        <v>9.4883652375776784E-4</v>
      </c>
      <c r="F90" s="134">
        <v>880.25</v>
      </c>
      <c r="G90" s="14">
        <f t="shared" si="13"/>
        <v>6.1309380274897629E-2</v>
      </c>
      <c r="H90" s="134">
        <v>139.6</v>
      </c>
      <c r="I90" s="14">
        <f t="shared" si="14"/>
        <v>4.4519266741488872E-2</v>
      </c>
      <c r="J90" s="134">
        <v>748.1</v>
      </c>
      <c r="K90" s="14">
        <f t="shared" si="15"/>
        <v>1.678559293238191E-2</v>
      </c>
      <c r="L90" s="134">
        <v>123.65</v>
      </c>
      <c r="M90" s="14">
        <f t="shared" si="16"/>
        <v>5.7289439931594632E-2</v>
      </c>
      <c r="N90" s="134">
        <v>253.25</v>
      </c>
      <c r="O90" s="14">
        <f t="shared" si="17"/>
        <v>8.361536930121316E-3</v>
      </c>
    </row>
    <row r="91" spans="2:15" x14ac:dyDescent="0.35">
      <c r="B91" s="135" t="s">
        <v>303</v>
      </c>
      <c r="D91" s="58">
        <v>21349.4</v>
      </c>
      <c r="E91" s="14">
        <f t="shared" si="12"/>
        <v>-1.7578250825993735E-2</v>
      </c>
      <c r="F91" s="134">
        <v>855.3</v>
      </c>
      <c r="G91" s="14">
        <f t="shared" si="13"/>
        <v>-2.8344220391934183E-2</v>
      </c>
      <c r="H91" s="134">
        <v>133.55000000000001</v>
      </c>
      <c r="I91" s="14">
        <f t="shared" si="14"/>
        <v>-4.333810888252132E-2</v>
      </c>
      <c r="J91" s="134">
        <v>726.4</v>
      </c>
      <c r="K91" s="14">
        <f t="shared" si="15"/>
        <v>-2.9006817270418428E-2</v>
      </c>
      <c r="L91" s="134">
        <v>112.75</v>
      </c>
      <c r="M91" s="14">
        <f t="shared" si="16"/>
        <v>-8.8152042054185253E-2</v>
      </c>
      <c r="N91" s="134">
        <v>250.5</v>
      </c>
      <c r="O91" s="14">
        <f t="shared" si="17"/>
        <v>-1.0858835143139234E-2</v>
      </c>
    </row>
    <row r="92" spans="2:15" x14ac:dyDescent="0.35">
      <c r="B92" s="135">
        <v>45211</v>
      </c>
      <c r="D92" s="58">
        <v>21456.65</v>
      </c>
      <c r="E92" s="14">
        <f t="shared" si="12"/>
        <v>5.023560381087977E-3</v>
      </c>
      <c r="F92" s="134">
        <v>867.2</v>
      </c>
      <c r="G92" s="14">
        <f t="shared" si="13"/>
        <v>1.3913246813983537E-2</v>
      </c>
      <c r="H92" s="134">
        <v>136.44999999999999</v>
      </c>
      <c r="I92" s="14">
        <f t="shared" si="14"/>
        <v>2.1714713590415435E-2</v>
      </c>
      <c r="J92" s="134">
        <v>724.4</v>
      </c>
      <c r="K92" s="14">
        <f t="shared" si="15"/>
        <v>-2.7533039647577029E-3</v>
      </c>
      <c r="L92" s="134">
        <v>111.45</v>
      </c>
      <c r="M92" s="14">
        <f t="shared" si="16"/>
        <v>-1.1529933481152943E-2</v>
      </c>
      <c r="N92" s="134">
        <v>259.85000000000002</v>
      </c>
      <c r="O92" s="14">
        <f t="shared" si="17"/>
        <v>3.7325349301397193E-2</v>
      </c>
    </row>
    <row r="93" spans="2:15" x14ac:dyDescent="0.35">
      <c r="B93" s="135">
        <v>44997</v>
      </c>
      <c r="D93" s="58">
        <v>20969.400000000001</v>
      </c>
      <c r="E93" s="14">
        <f t="shared" si="12"/>
        <v>-2.2708577527246754E-2</v>
      </c>
      <c r="F93" s="134">
        <v>839.35</v>
      </c>
      <c r="G93" s="14">
        <f t="shared" si="13"/>
        <v>-3.2114852398523963E-2</v>
      </c>
      <c r="H93" s="134">
        <v>129.19999999999999</v>
      </c>
      <c r="I93" s="14">
        <f t="shared" si="14"/>
        <v>-5.3133015756687385E-2</v>
      </c>
      <c r="J93" s="134">
        <v>686.25</v>
      </c>
      <c r="K93" s="14">
        <f t="shared" si="15"/>
        <v>-5.2664273881833257E-2</v>
      </c>
      <c r="L93" s="134">
        <v>98.1</v>
      </c>
      <c r="M93" s="14">
        <f t="shared" si="16"/>
        <v>-0.11978465679676997</v>
      </c>
      <c r="N93" s="134">
        <v>249.45</v>
      </c>
      <c r="O93" s="14">
        <f t="shared" si="17"/>
        <v>-4.0023090244371895E-2</v>
      </c>
    </row>
    <row r="94" spans="2:15" x14ac:dyDescent="0.35">
      <c r="B94" s="135" t="s">
        <v>302</v>
      </c>
      <c r="D94" s="58">
        <v>20267.900000000001</v>
      </c>
      <c r="E94" s="14">
        <f t="shared" si="12"/>
        <v>-3.3453508445639879E-2</v>
      </c>
      <c r="F94" s="134">
        <v>810.8</v>
      </c>
      <c r="G94" s="14">
        <f t="shared" si="13"/>
        <v>-3.4014415917078766E-2</v>
      </c>
      <c r="H94" s="134">
        <v>130</v>
      </c>
      <c r="I94" s="14">
        <f t="shared" si="14"/>
        <v>6.1919504643963563E-3</v>
      </c>
      <c r="J94" s="134">
        <v>692.2</v>
      </c>
      <c r="K94" s="14">
        <f t="shared" si="15"/>
        <v>8.6703096539162416E-3</v>
      </c>
      <c r="L94" s="134">
        <v>93.15</v>
      </c>
      <c r="M94" s="14">
        <f t="shared" si="16"/>
        <v>-5.0458715596330195E-2</v>
      </c>
      <c r="N94" s="134">
        <v>244.35</v>
      </c>
      <c r="O94" s="14">
        <f t="shared" si="17"/>
        <v>-2.0444978953698123E-2</v>
      </c>
    </row>
    <row r="95" spans="2:15" x14ac:dyDescent="0.35">
      <c r="B95" s="135" t="s">
        <v>301</v>
      </c>
      <c r="D95" s="58">
        <v>19794.7</v>
      </c>
      <c r="E95" s="14">
        <f t="shared" si="12"/>
        <v>-2.3347263406667706E-2</v>
      </c>
      <c r="F95" s="134">
        <v>782.05</v>
      </c>
      <c r="G95" s="14">
        <f t="shared" si="13"/>
        <v>-3.5458806117414921E-2</v>
      </c>
      <c r="H95" s="134">
        <v>125.95</v>
      </c>
      <c r="I95" s="14">
        <f t="shared" si="14"/>
        <v>-3.1153846153846088E-2</v>
      </c>
      <c r="J95" s="134">
        <v>660.3</v>
      </c>
      <c r="K95" s="14">
        <f t="shared" si="15"/>
        <v>-4.6084946547240824E-2</v>
      </c>
      <c r="L95" s="134">
        <v>89.2</v>
      </c>
      <c r="M95" s="14">
        <f t="shared" si="16"/>
        <v>-4.2404723564143931E-2</v>
      </c>
      <c r="N95" s="134">
        <v>235.25</v>
      </c>
      <c r="O95" s="14">
        <f t="shared" si="17"/>
        <v>-3.7241661551053795E-2</v>
      </c>
    </row>
    <row r="96" spans="2:15" x14ac:dyDescent="0.35">
      <c r="B96" s="135">
        <v>45271</v>
      </c>
      <c r="D96" s="58">
        <v>19731.8</v>
      </c>
      <c r="E96" s="14">
        <f t="shared" si="12"/>
        <v>-3.1776182513502116E-3</v>
      </c>
      <c r="F96" s="134">
        <v>768.8</v>
      </c>
      <c r="G96" s="14">
        <f t="shared" si="13"/>
        <v>-1.6942650725656927E-2</v>
      </c>
      <c r="H96" s="134">
        <v>125.2</v>
      </c>
      <c r="I96" s="14">
        <f t="shared" si="14"/>
        <v>-5.9547439460103657E-3</v>
      </c>
      <c r="J96" s="134">
        <v>647.1</v>
      </c>
      <c r="K96" s="14">
        <f t="shared" si="15"/>
        <v>-1.9990913221263007E-2</v>
      </c>
      <c r="L96" s="134">
        <v>89.3</v>
      </c>
      <c r="M96" s="14">
        <f t="shared" si="16"/>
        <v>1.1210762331836932E-3</v>
      </c>
      <c r="N96" s="134">
        <v>233.3</v>
      </c>
      <c r="O96" s="14">
        <f t="shared" si="17"/>
        <v>-8.2890541976620158E-3</v>
      </c>
    </row>
    <row r="97" spans="2:15" x14ac:dyDescent="0.35">
      <c r="B97" s="135">
        <v>45057</v>
      </c>
      <c r="D97" s="58">
        <v>19425.349999999999</v>
      </c>
      <c r="E97" s="14">
        <f t="shared" si="12"/>
        <v>-1.5530767593427863E-2</v>
      </c>
      <c r="F97" s="134">
        <v>754.75</v>
      </c>
      <c r="G97" s="14">
        <f t="shared" si="13"/>
        <v>-1.8275234131113316E-2</v>
      </c>
      <c r="H97" s="134">
        <v>120.05</v>
      </c>
      <c r="I97" s="14">
        <f t="shared" si="14"/>
        <v>-4.1134185303514426E-2</v>
      </c>
      <c r="J97" s="134">
        <v>636.9</v>
      </c>
      <c r="K97" s="14">
        <f t="shared" si="15"/>
        <v>-1.5762633286972694E-2</v>
      </c>
      <c r="L97" s="134">
        <v>88.1</v>
      </c>
      <c r="M97" s="14">
        <f t="shared" si="16"/>
        <v>-1.3437849944008984E-2</v>
      </c>
      <c r="N97" s="134">
        <v>215.5</v>
      </c>
      <c r="O97" s="14">
        <f t="shared" si="17"/>
        <v>-7.6296613801971724E-2</v>
      </c>
    </row>
    <row r="98" spans="2:15" x14ac:dyDescent="0.35">
      <c r="B98" s="135" t="s">
        <v>300</v>
      </c>
      <c r="D98" s="58">
        <v>19230.599999999999</v>
      </c>
      <c r="E98" s="14">
        <f t="shared" si="12"/>
        <v>-1.0025559385030358E-2</v>
      </c>
      <c r="F98" s="134">
        <v>746.05</v>
      </c>
      <c r="G98" s="14">
        <f t="shared" si="13"/>
        <v>-1.1526995693938447E-2</v>
      </c>
      <c r="H98" s="134">
        <v>117.3</v>
      </c>
      <c r="I98" s="14">
        <f t="shared" si="14"/>
        <v>-2.290712203248646E-2</v>
      </c>
      <c r="J98" s="134">
        <v>596.9</v>
      </c>
      <c r="K98" s="14">
        <f t="shared" si="15"/>
        <v>-6.2804207881928087E-2</v>
      </c>
      <c r="L98" s="134">
        <v>84.9</v>
      </c>
      <c r="M98" s="14">
        <f t="shared" si="16"/>
        <v>-3.6322360953461863E-2</v>
      </c>
      <c r="N98" s="134">
        <v>215.65</v>
      </c>
      <c r="O98" s="14">
        <f t="shared" si="17"/>
        <v>6.9605568445485488E-4</v>
      </c>
    </row>
    <row r="99" spans="2:15" x14ac:dyDescent="0.35">
      <c r="B99" s="135" t="s">
        <v>299</v>
      </c>
      <c r="D99" s="58">
        <v>19047.25</v>
      </c>
      <c r="E99" s="14">
        <f t="shared" si="12"/>
        <v>-9.5342839016983039E-3</v>
      </c>
      <c r="F99" s="134">
        <v>732</v>
      </c>
      <c r="G99" s="14">
        <f t="shared" si="13"/>
        <v>-1.8832517927752757E-2</v>
      </c>
      <c r="H99" s="134">
        <v>119.9</v>
      </c>
      <c r="I99" s="14">
        <f t="shared" si="14"/>
        <v>2.2165387894288235E-2</v>
      </c>
      <c r="J99" s="134">
        <v>643.9</v>
      </c>
      <c r="K99" s="14">
        <f t="shared" si="15"/>
        <v>7.8740157480315043E-2</v>
      </c>
      <c r="L99" s="134">
        <v>83.95</v>
      </c>
      <c r="M99" s="14">
        <f t="shared" si="16"/>
        <v>-1.1189634864546605E-2</v>
      </c>
      <c r="N99" s="134">
        <v>214.15</v>
      </c>
      <c r="O99" s="14">
        <f t="shared" si="17"/>
        <v>-6.9557152793878751E-3</v>
      </c>
    </row>
    <row r="100" spans="2:15" x14ac:dyDescent="0.35">
      <c r="B100" s="135" t="s">
        <v>298</v>
      </c>
      <c r="D100" s="58">
        <v>19542.650000000001</v>
      </c>
      <c r="E100" s="14">
        <f t="shared" si="12"/>
        <v>2.6009003924451157E-2</v>
      </c>
      <c r="F100" s="134">
        <v>769.4</v>
      </c>
      <c r="G100" s="14">
        <f t="shared" si="13"/>
        <v>5.1092896174863345E-2</v>
      </c>
      <c r="H100" s="134">
        <v>123.1</v>
      </c>
      <c r="I100" s="14">
        <f t="shared" si="14"/>
        <v>2.6688907422852237E-2</v>
      </c>
      <c r="J100" s="134">
        <v>662.4</v>
      </c>
      <c r="K100" s="14">
        <f t="shared" si="15"/>
        <v>2.8731169436247761E-2</v>
      </c>
      <c r="L100" s="134">
        <v>86.9</v>
      </c>
      <c r="M100" s="14">
        <f t="shared" si="16"/>
        <v>3.5139964264443213E-2</v>
      </c>
      <c r="N100" s="134">
        <v>216.6</v>
      </c>
      <c r="O100" s="14">
        <f t="shared" si="17"/>
        <v>1.1440579033387799E-2</v>
      </c>
    </row>
    <row r="101" spans="2:15" x14ac:dyDescent="0.35">
      <c r="B101" s="135">
        <v>45148</v>
      </c>
      <c r="D101" s="58">
        <v>19751.05</v>
      </c>
      <c r="E101" s="14">
        <f t="shared" si="12"/>
        <v>1.0663855720692839E-2</v>
      </c>
      <c r="F101" s="134">
        <v>777.25</v>
      </c>
      <c r="G101" s="14">
        <f t="shared" si="13"/>
        <v>1.0202755393813323E-2</v>
      </c>
      <c r="H101" s="134">
        <v>125.05</v>
      </c>
      <c r="I101" s="14">
        <f t="shared" si="14"/>
        <v>1.5840779853777409E-2</v>
      </c>
      <c r="J101" s="134">
        <v>681.5</v>
      </c>
      <c r="K101" s="14">
        <f t="shared" si="15"/>
        <v>2.8834541062801922E-2</v>
      </c>
      <c r="L101" s="134">
        <v>88.9</v>
      </c>
      <c r="M101" s="14">
        <f t="shared" si="16"/>
        <v>2.3014959723820505E-2</v>
      </c>
      <c r="N101" s="134">
        <v>215.4</v>
      </c>
      <c r="O101" s="14">
        <f t="shared" si="17"/>
        <v>-5.5401662049860967E-3</v>
      </c>
    </row>
    <row r="102" spans="2:15" x14ac:dyDescent="0.35">
      <c r="B102" s="135">
        <v>44936</v>
      </c>
      <c r="D102" s="58">
        <v>19653.5</v>
      </c>
      <c r="E102" s="14">
        <f t="shared" si="12"/>
        <v>-4.9389779277556611E-3</v>
      </c>
      <c r="F102" s="134">
        <v>765.2</v>
      </c>
      <c r="G102" s="14">
        <f t="shared" si="13"/>
        <v>-1.5503377291733567E-2</v>
      </c>
      <c r="H102" s="134">
        <v>125.9</v>
      </c>
      <c r="I102" s="14">
        <f t="shared" si="14"/>
        <v>6.7972810875649436E-3</v>
      </c>
      <c r="J102" s="134">
        <v>683.45</v>
      </c>
      <c r="K102" s="14">
        <f t="shared" si="15"/>
        <v>2.8613352898019251E-3</v>
      </c>
      <c r="L102" s="134">
        <v>88.85</v>
      </c>
      <c r="M102" s="14">
        <f t="shared" si="16"/>
        <v>-5.6242969628805817E-4</v>
      </c>
      <c r="N102" s="134">
        <v>215.95</v>
      </c>
      <c r="O102" s="14">
        <f t="shared" si="17"/>
        <v>2.5533890436395534E-3</v>
      </c>
    </row>
    <row r="103" spans="2:15" x14ac:dyDescent="0.35">
      <c r="B103" s="135" t="s">
        <v>297</v>
      </c>
      <c r="D103" s="58">
        <v>19638.3</v>
      </c>
      <c r="E103" s="14">
        <f t="shared" si="12"/>
        <v>-7.7339914010232658E-4</v>
      </c>
      <c r="F103" s="134">
        <v>779.6</v>
      </c>
      <c r="G103" s="14">
        <f t="shared" si="13"/>
        <v>1.8818609513852502E-2</v>
      </c>
      <c r="H103" s="134">
        <v>128.9</v>
      </c>
      <c r="I103" s="14">
        <f t="shared" si="14"/>
        <v>2.3828435266084247E-2</v>
      </c>
      <c r="J103" s="134">
        <v>701.35</v>
      </c>
      <c r="K103" s="14">
        <f t="shared" si="15"/>
        <v>2.6190650376764824E-2</v>
      </c>
      <c r="L103" s="134">
        <v>93.85</v>
      </c>
      <c r="M103" s="14">
        <f t="shared" si="16"/>
        <v>5.6274620146314014E-2</v>
      </c>
      <c r="N103" s="134">
        <v>220.3</v>
      </c>
      <c r="O103" s="14">
        <f t="shared" si="17"/>
        <v>2.0143551748089905E-2</v>
      </c>
    </row>
    <row r="104" spans="2:15" x14ac:dyDescent="0.35">
      <c r="B104" s="135" t="s">
        <v>296</v>
      </c>
      <c r="D104" s="58">
        <v>19674.25</v>
      </c>
      <c r="E104" s="14">
        <f t="shared" si="12"/>
        <v>1.8306065188942178E-3</v>
      </c>
      <c r="F104" s="134">
        <v>774.05</v>
      </c>
      <c r="G104" s="14">
        <f t="shared" si="13"/>
        <v>-7.1190354027707015E-3</v>
      </c>
      <c r="H104" s="134">
        <v>126.75</v>
      </c>
      <c r="I104" s="14">
        <f t="shared" si="14"/>
        <v>-1.66795965865012E-2</v>
      </c>
      <c r="J104" s="134">
        <v>683.2</v>
      </c>
      <c r="K104" s="14">
        <f t="shared" si="15"/>
        <v>-2.5878662579311262E-2</v>
      </c>
      <c r="L104" s="134">
        <v>93.2</v>
      </c>
      <c r="M104" s="14">
        <f t="shared" si="16"/>
        <v>-6.9259456579647827E-3</v>
      </c>
      <c r="N104" s="134">
        <v>214.9</v>
      </c>
      <c r="O104" s="14">
        <f t="shared" si="17"/>
        <v>-2.4512029051293682E-2</v>
      </c>
    </row>
    <row r="105" spans="2:15" x14ac:dyDescent="0.35">
      <c r="B105" s="135">
        <v>45208</v>
      </c>
      <c r="D105" s="58">
        <v>20192.349999999999</v>
      </c>
      <c r="E105" s="14">
        <f t="shared" si="12"/>
        <v>2.6333913618054039E-2</v>
      </c>
      <c r="F105" s="134">
        <v>812.85</v>
      </c>
      <c r="G105" s="14">
        <f t="shared" si="13"/>
        <v>5.0125960855242013E-2</v>
      </c>
      <c r="H105" s="134">
        <v>131.94999999999999</v>
      </c>
      <c r="I105" s="14">
        <f t="shared" si="14"/>
        <v>4.102564102564088E-2</v>
      </c>
      <c r="J105" s="134">
        <v>711.45</v>
      </c>
      <c r="K105" s="14">
        <f t="shared" si="15"/>
        <v>4.1349531615925139E-2</v>
      </c>
      <c r="L105" s="134">
        <v>96.35</v>
      </c>
      <c r="M105" s="14">
        <f t="shared" si="16"/>
        <v>3.3798283261802453E-2</v>
      </c>
      <c r="N105" s="134">
        <v>211.5</v>
      </c>
      <c r="O105" s="14">
        <f t="shared" si="17"/>
        <v>-1.582131223825034E-2</v>
      </c>
    </row>
    <row r="106" spans="2:15" x14ac:dyDescent="0.35">
      <c r="B106" s="135">
        <v>44994</v>
      </c>
      <c r="D106" s="58">
        <v>19819.95</v>
      </c>
      <c r="E106" s="14">
        <f t="shared" si="12"/>
        <v>-1.8442628024969765E-2</v>
      </c>
      <c r="F106" s="134">
        <v>815.75</v>
      </c>
      <c r="G106" s="14">
        <f t="shared" si="13"/>
        <v>3.5676939164668298E-3</v>
      </c>
      <c r="H106" s="134">
        <v>129.5</v>
      </c>
      <c r="I106" s="14">
        <f t="shared" si="14"/>
        <v>-1.8567639257294322E-2</v>
      </c>
      <c r="J106" s="134">
        <v>698.3</v>
      </c>
      <c r="K106" s="14">
        <f t="shared" si="15"/>
        <v>-1.8483379014688439E-2</v>
      </c>
      <c r="L106" s="134">
        <v>98.9</v>
      </c>
      <c r="M106" s="14">
        <f t="shared" si="16"/>
        <v>2.6466009340944563E-2</v>
      </c>
      <c r="N106" s="134">
        <v>239.5</v>
      </c>
      <c r="O106" s="14">
        <f t="shared" si="17"/>
        <v>0.13238770685579193</v>
      </c>
    </row>
    <row r="107" spans="2:15" x14ac:dyDescent="0.35">
      <c r="B107" s="135" t="s">
        <v>295</v>
      </c>
      <c r="D107" s="58">
        <v>19435.3</v>
      </c>
      <c r="E107" s="14">
        <f t="shared" si="12"/>
        <v>-1.940721343898455E-2</v>
      </c>
      <c r="F107" s="134">
        <v>806.4</v>
      </c>
      <c r="G107" s="14">
        <f t="shared" si="13"/>
        <v>-1.1461844927980414E-2</v>
      </c>
      <c r="H107" s="134">
        <v>127.05</v>
      </c>
      <c r="I107" s="14">
        <f t="shared" si="14"/>
        <v>-1.8918918918918948E-2</v>
      </c>
      <c r="J107" s="134">
        <v>701.1</v>
      </c>
      <c r="K107" s="14">
        <f t="shared" si="15"/>
        <v>4.009737934985047E-3</v>
      </c>
      <c r="L107" s="134">
        <v>96.95</v>
      </c>
      <c r="M107" s="14">
        <f t="shared" si="16"/>
        <v>-1.9716885743174983E-2</v>
      </c>
      <c r="N107" s="134">
        <v>240.98</v>
      </c>
      <c r="O107" s="14">
        <f t="shared" si="17"/>
        <v>6.1795407098119703E-3</v>
      </c>
    </row>
    <row r="108" spans="2:15" x14ac:dyDescent="0.35">
      <c r="B108" s="135" t="s">
        <v>294</v>
      </c>
      <c r="D108" s="58">
        <v>19265.8</v>
      </c>
      <c r="E108" s="14">
        <f t="shared" si="12"/>
        <v>-8.7212443337638668E-3</v>
      </c>
      <c r="F108" s="134">
        <v>773.15</v>
      </c>
      <c r="G108" s="14">
        <f t="shared" si="13"/>
        <v>-4.123263888888884E-2</v>
      </c>
      <c r="H108" s="134">
        <v>116.9</v>
      </c>
      <c r="I108" s="14">
        <f t="shared" si="14"/>
        <v>-7.9889807162534354E-2</v>
      </c>
      <c r="J108" s="134">
        <v>634.4</v>
      </c>
      <c r="K108" s="14">
        <f t="shared" si="15"/>
        <v>-9.5136214520039952E-2</v>
      </c>
      <c r="L108" s="134">
        <v>85.65</v>
      </c>
      <c r="M108" s="14">
        <f t="shared" si="16"/>
        <v>-0.11655492521918509</v>
      </c>
      <c r="N108" s="134">
        <v>206.14</v>
      </c>
      <c r="O108" s="14">
        <f t="shared" si="17"/>
        <v>-0.14457631338700305</v>
      </c>
    </row>
    <row r="109" spans="2:15" x14ac:dyDescent="0.35">
      <c r="B109" s="135" t="s">
        <v>293</v>
      </c>
      <c r="D109" s="58">
        <v>19310.150000000001</v>
      </c>
      <c r="E109" s="14">
        <f t="shared" si="12"/>
        <v>2.3020066646597392E-3</v>
      </c>
      <c r="F109" s="134">
        <v>787.1</v>
      </c>
      <c r="G109" s="14">
        <f t="shared" si="13"/>
        <v>1.804307055551968E-2</v>
      </c>
      <c r="H109" s="134">
        <v>115.8</v>
      </c>
      <c r="I109" s="14">
        <f t="shared" si="14"/>
        <v>-9.4097519247220429E-3</v>
      </c>
      <c r="J109" s="134">
        <v>641.04999999999995</v>
      </c>
      <c r="K109" s="14">
        <f t="shared" si="15"/>
        <v>1.0482345523329162E-2</v>
      </c>
      <c r="L109" s="134">
        <v>84.35</v>
      </c>
      <c r="M109" s="14">
        <f t="shared" si="16"/>
        <v>-1.5178050204320059E-2</v>
      </c>
      <c r="N109" s="134">
        <v>198.46</v>
      </c>
      <c r="O109" s="14">
        <f t="shared" si="17"/>
        <v>-3.7256233627631641E-2</v>
      </c>
    </row>
    <row r="110" spans="2:15" x14ac:dyDescent="0.35">
      <c r="B110" s="135">
        <v>45085</v>
      </c>
      <c r="D110" s="58">
        <v>19428.3</v>
      </c>
      <c r="E110" s="14">
        <f t="shared" ref="E110:E141" si="18">D110/D109-1</f>
        <v>6.1185438745943177E-3</v>
      </c>
      <c r="F110" s="134">
        <v>820.65</v>
      </c>
      <c r="G110" s="14">
        <f t="shared" ref="G110:G141" si="19">F110/F109-1</f>
        <v>4.2624825308092973E-2</v>
      </c>
      <c r="H110" s="134">
        <v>120.3</v>
      </c>
      <c r="I110" s="14">
        <f t="shared" ref="I110:I141" si="20">H110/H109-1</f>
        <v>3.8860103626942921E-2</v>
      </c>
      <c r="J110" s="134">
        <v>698.2</v>
      </c>
      <c r="K110" s="14">
        <f t="shared" ref="K110:K141" si="21">J110/J109-1</f>
        <v>8.9150612276733598E-2</v>
      </c>
      <c r="L110" s="134">
        <v>91.1</v>
      </c>
      <c r="M110" s="14">
        <f t="shared" ref="M110:M141" si="22">L110/L109-1</f>
        <v>8.0023710729104858E-2</v>
      </c>
      <c r="N110" s="134">
        <v>188.99</v>
      </c>
      <c r="O110" s="14">
        <f t="shared" ref="O110:O141" si="23">N110/N109-1</f>
        <v>-4.7717424166078826E-2</v>
      </c>
    </row>
    <row r="111" spans="2:15" x14ac:dyDescent="0.35">
      <c r="B111" s="135" t="s">
        <v>292</v>
      </c>
      <c r="D111" s="58">
        <v>19517</v>
      </c>
      <c r="E111" s="14">
        <f t="shared" si="18"/>
        <v>4.5655049592605579E-3</v>
      </c>
      <c r="F111" s="134">
        <v>805.95</v>
      </c>
      <c r="G111" s="14">
        <f t="shared" si="19"/>
        <v>-1.7912630232132964E-2</v>
      </c>
      <c r="H111" s="134">
        <v>119</v>
      </c>
      <c r="I111" s="14">
        <f t="shared" si="20"/>
        <v>-1.0806317539484578E-2</v>
      </c>
      <c r="J111" s="134">
        <v>652.70000000000005</v>
      </c>
      <c r="K111" s="14">
        <f t="shared" si="21"/>
        <v>-6.5167573761099939E-2</v>
      </c>
      <c r="L111" s="134">
        <v>94</v>
      </c>
      <c r="M111" s="14">
        <f t="shared" si="22"/>
        <v>3.1833150384193321E-2</v>
      </c>
      <c r="N111" s="134">
        <v>195.87</v>
      </c>
      <c r="O111" s="14">
        <f t="shared" si="23"/>
        <v>3.6404042541933412E-2</v>
      </c>
    </row>
    <row r="112" spans="2:15" x14ac:dyDescent="0.35">
      <c r="B112" s="135" t="s">
        <v>291</v>
      </c>
      <c r="D112" s="58">
        <v>19646.05</v>
      </c>
      <c r="E112" s="14">
        <f t="shared" si="18"/>
        <v>6.6121842496285055E-3</v>
      </c>
      <c r="F112" s="134">
        <v>804.15</v>
      </c>
      <c r="G112" s="14">
        <f t="shared" si="19"/>
        <v>-2.2333891680625939E-3</v>
      </c>
      <c r="H112" s="134">
        <v>120.6</v>
      </c>
      <c r="I112" s="14">
        <f t="shared" si="20"/>
        <v>1.3445378151260456E-2</v>
      </c>
      <c r="J112" s="134">
        <v>665.3</v>
      </c>
      <c r="K112" s="14">
        <f t="shared" si="21"/>
        <v>1.9304427761605458E-2</v>
      </c>
      <c r="L112" s="134">
        <v>92.7</v>
      </c>
      <c r="M112" s="14">
        <f t="shared" si="22"/>
        <v>-1.382978723404249E-2</v>
      </c>
      <c r="N112" s="134">
        <v>187.19</v>
      </c>
      <c r="O112" s="14">
        <f t="shared" si="23"/>
        <v>-4.4315106958697115E-2</v>
      </c>
    </row>
    <row r="113" spans="2:15" x14ac:dyDescent="0.35">
      <c r="B113" s="135" t="s">
        <v>290</v>
      </c>
      <c r="D113" s="58">
        <v>19745</v>
      </c>
      <c r="E113" s="14">
        <f t="shared" si="18"/>
        <v>5.0366358631888097E-3</v>
      </c>
      <c r="F113" s="134">
        <v>786.45</v>
      </c>
      <c r="G113" s="14">
        <f t="shared" si="19"/>
        <v>-2.2010818877075122E-2</v>
      </c>
      <c r="H113" s="134">
        <v>116.6</v>
      </c>
      <c r="I113" s="14">
        <f t="shared" si="20"/>
        <v>-3.3167495854062978E-2</v>
      </c>
      <c r="J113" s="134">
        <v>628.1</v>
      </c>
      <c r="K113" s="14">
        <f t="shared" si="21"/>
        <v>-5.5914624981211358E-2</v>
      </c>
      <c r="L113" s="134">
        <v>90.15</v>
      </c>
      <c r="M113" s="14">
        <f t="shared" si="22"/>
        <v>-2.7508090614886682E-2</v>
      </c>
      <c r="N113" s="134">
        <v>175.81</v>
      </c>
      <c r="O113" s="14">
        <f t="shared" si="23"/>
        <v>-6.0793845825097503E-2</v>
      </c>
    </row>
    <row r="114" spans="2:15" x14ac:dyDescent="0.35">
      <c r="B114" s="135">
        <v>45176</v>
      </c>
      <c r="D114" s="58">
        <v>19564.5</v>
      </c>
      <c r="E114" s="14">
        <f t="shared" si="18"/>
        <v>-9.1415548240060263E-3</v>
      </c>
      <c r="F114" s="134">
        <v>804.85</v>
      </c>
      <c r="G114" s="14">
        <f t="shared" si="19"/>
        <v>2.3396274397609496E-2</v>
      </c>
      <c r="H114" s="134">
        <v>117.15</v>
      </c>
      <c r="I114" s="14">
        <f t="shared" si="20"/>
        <v>4.7169811320755262E-3</v>
      </c>
      <c r="J114" s="134">
        <v>641.6</v>
      </c>
      <c r="K114" s="14">
        <f t="shared" si="21"/>
        <v>2.1493392771851694E-2</v>
      </c>
      <c r="L114" s="134">
        <v>91.25</v>
      </c>
      <c r="M114" s="14">
        <f t="shared" si="22"/>
        <v>1.2201885745978913E-2</v>
      </c>
      <c r="N114" s="134">
        <v>158.19</v>
      </c>
      <c r="O114" s="14">
        <f t="shared" si="23"/>
        <v>-0.10022183038507482</v>
      </c>
    </row>
    <row r="115" spans="2:15" x14ac:dyDescent="0.35">
      <c r="B115" s="135">
        <v>44964</v>
      </c>
      <c r="D115" s="58">
        <v>19331.8</v>
      </c>
      <c r="E115" s="14">
        <f t="shared" si="18"/>
        <v>-1.1893991668583404E-2</v>
      </c>
      <c r="F115" s="134">
        <v>788.4</v>
      </c>
      <c r="G115" s="14">
        <f t="shared" si="19"/>
        <v>-2.0438591041809118E-2</v>
      </c>
      <c r="H115" s="134">
        <v>111.6</v>
      </c>
      <c r="I115" s="14">
        <f t="shared" si="20"/>
        <v>-4.7375160051216447E-2</v>
      </c>
      <c r="J115" s="134">
        <v>610.20000000000005</v>
      </c>
      <c r="K115" s="14">
        <f t="shared" si="21"/>
        <v>-4.894014962593507E-2</v>
      </c>
      <c r="L115" s="134">
        <v>86.8</v>
      </c>
      <c r="M115" s="14">
        <f t="shared" si="22"/>
        <v>-4.8767123287671299E-2</v>
      </c>
      <c r="N115" s="134">
        <v>152.94</v>
      </c>
      <c r="O115" s="14">
        <f t="shared" si="23"/>
        <v>-3.3187938554902319E-2</v>
      </c>
    </row>
    <row r="116" spans="2:15" x14ac:dyDescent="0.35">
      <c r="B116" s="135" t="s">
        <v>289</v>
      </c>
      <c r="D116" s="58">
        <v>19189.05</v>
      </c>
      <c r="E116" s="14">
        <f t="shared" si="18"/>
        <v>-7.3842063336058139E-3</v>
      </c>
      <c r="F116" s="134">
        <v>784.8</v>
      </c>
      <c r="G116" s="14">
        <f t="shared" si="19"/>
        <v>-4.5662100456621557E-3</v>
      </c>
      <c r="H116" s="134">
        <v>112</v>
      </c>
      <c r="I116" s="14">
        <f t="shared" si="20"/>
        <v>3.5842293906811484E-3</v>
      </c>
      <c r="J116" s="134">
        <v>581.04999999999995</v>
      </c>
      <c r="K116" s="14">
        <f t="shared" si="21"/>
        <v>-4.7771222549983783E-2</v>
      </c>
      <c r="L116" s="134">
        <v>85.5</v>
      </c>
      <c r="M116" s="14">
        <f t="shared" si="22"/>
        <v>-1.4976958525345641E-2</v>
      </c>
      <c r="N116" s="134">
        <v>146.31</v>
      </c>
      <c r="O116" s="14">
        <f t="shared" si="23"/>
        <v>-4.3350333464103552E-2</v>
      </c>
    </row>
    <row r="117" spans="2:15" x14ac:dyDescent="0.35">
      <c r="B117" s="135" t="s">
        <v>288</v>
      </c>
      <c r="D117" s="58">
        <v>18665.5</v>
      </c>
      <c r="E117" s="14">
        <f t="shared" si="18"/>
        <v>-2.7283789452838936E-2</v>
      </c>
      <c r="F117" s="134">
        <v>746.5</v>
      </c>
      <c r="G117" s="14">
        <f t="shared" si="19"/>
        <v>-4.8802242609581992E-2</v>
      </c>
      <c r="H117" s="134">
        <v>109.6</v>
      </c>
      <c r="I117" s="14">
        <f t="shared" si="20"/>
        <v>-2.1428571428571463E-2</v>
      </c>
      <c r="J117" s="134">
        <v>568.85</v>
      </c>
      <c r="K117" s="14">
        <f t="shared" si="21"/>
        <v>-2.0996471904311087E-2</v>
      </c>
      <c r="L117" s="134">
        <v>84.4</v>
      </c>
      <c r="M117" s="14">
        <f t="shared" si="22"/>
        <v>-1.2865497076023358E-2</v>
      </c>
      <c r="N117" s="134">
        <v>134.32</v>
      </c>
      <c r="O117" s="14">
        <f t="shared" si="23"/>
        <v>-8.1949285763105784E-2</v>
      </c>
    </row>
    <row r="118" spans="2:15" x14ac:dyDescent="0.35">
      <c r="B118" s="135">
        <v>45236</v>
      </c>
      <c r="D118" s="58">
        <v>18826</v>
      </c>
      <c r="E118" s="14">
        <f t="shared" si="18"/>
        <v>8.598751707695973E-3</v>
      </c>
      <c r="F118" s="134">
        <v>776.1</v>
      </c>
      <c r="G118" s="14">
        <f t="shared" si="19"/>
        <v>3.9651707970529193E-2</v>
      </c>
      <c r="H118" s="134">
        <v>114.25</v>
      </c>
      <c r="I118" s="14">
        <f t="shared" si="20"/>
        <v>4.242700729927007E-2</v>
      </c>
      <c r="J118" s="134">
        <v>544.20000000000005</v>
      </c>
      <c r="K118" s="14">
        <f t="shared" si="21"/>
        <v>-4.3333040344554763E-2</v>
      </c>
      <c r="L118" s="134">
        <v>85.15</v>
      </c>
      <c r="M118" s="14">
        <f t="shared" si="22"/>
        <v>8.886255924170694E-3</v>
      </c>
      <c r="N118" s="134">
        <v>142.29</v>
      </c>
      <c r="O118" s="14">
        <f t="shared" si="23"/>
        <v>5.9335914234663445E-2</v>
      </c>
    </row>
    <row r="119" spans="2:15" x14ac:dyDescent="0.35">
      <c r="B119" s="135">
        <v>45022</v>
      </c>
      <c r="D119" s="58">
        <v>18563.400000000001</v>
      </c>
      <c r="E119" s="14">
        <f t="shared" si="18"/>
        <v>-1.3948794220758454E-2</v>
      </c>
      <c r="F119" s="134">
        <v>748.5</v>
      </c>
      <c r="G119" s="14">
        <f t="shared" si="19"/>
        <v>-3.5562427522226492E-2</v>
      </c>
      <c r="H119" s="134">
        <v>108.9</v>
      </c>
      <c r="I119" s="14">
        <f t="shared" si="20"/>
        <v>-4.6827133479212191E-2</v>
      </c>
      <c r="J119" s="134">
        <v>523.95000000000005</v>
      </c>
      <c r="K119" s="14">
        <f t="shared" si="21"/>
        <v>-3.721058434399116E-2</v>
      </c>
      <c r="L119" s="134">
        <v>82.9</v>
      </c>
      <c r="M119" s="14">
        <f t="shared" si="22"/>
        <v>-2.6423957721667612E-2</v>
      </c>
      <c r="N119" s="134">
        <v>127.63</v>
      </c>
      <c r="O119" s="14">
        <f t="shared" si="23"/>
        <v>-0.10302902523016377</v>
      </c>
    </row>
    <row r="120" spans="2:15" x14ac:dyDescent="0.35">
      <c r="B120" s="135" t="s">
        <v>287</v>
      </c>
      <c r="D120" s="58">
        <v>18534.099999999999</v>
      </c>
      <c r="E120" s="14">
        <f t="shared" si="18"/>
        <v>-1.5783746511954799E-3</v>
      </c>
      <c r="F120" s="134">
        <v>706.6</v>
      </c>
      <c r="G120" s="14">
        <f t="shared" si="19"/>
        <v>-5.5978623914495595E-2</v>
      </c>
      <c r="H120" s="134">
        <v>108</v>
      </c>
      <c r="I120" s="14">
        <f t="shared" si="20"/>
        <v>-8.2644628099174389E-3</v>
      </c>
      <c r="J120" s="134">
        <v>525.35</v>
      </c>
      <c r="K120" s="14">
        <f t="shared" si="21"/>
        <v>2.6720106880426808E-3</v>
      </c>
      <c r="L120" s="134">
        <v>83.6</v>
      </c>
      <c r="M120" s="14">
        <f t="shared" si="22"/>
        <v>8.443908323281013E-3</v>
      </c>
      <c r="N120" s="134">
        <v>117.68</v>
      </c>
      <c r="O120" s="14">
        <f t="shared" si="23"/>
        <v>-7.7959727336832985E-2</v>
      </c>
    </row>
    <row r="121" spans="2:15" x14ac:dyDescent="0.35">
      <c r="B121" s="135" t="s">
        <v>286</v>
      </c>
      <c r="D121" s="58">
        <v>18499.349999999999</v>
      </c>
      <c r="E121" s="14">
        <f t="shared" si="18"/>
        <v>-1.874922440258775E-3</v>
      </c>
      <c r="F121" s="134">
        <v>701.7</v>
      </c>
      <c r="G121" s="14">
        <f t="shared" si="19"/>
        <v>-6.9346164732521087E-3</v>
      </c>
      <c r="H121" s="134">
        <v>106.4</v>
      </c>
      <c r="I121" s="14">
        <f t="shared" si="20"/>
        <v>-1.4814814814814725E-2</v>
      </c>
      <c r="J121" s="134">
        <v>520.35</v>
      </c>
      <c r="K121" s="14">
        <f t="shared" si="21"/>
        <v>-9.5174645474445096E-3</v>
      </c>
      <c r="L121" s="134">
        <v>82.1</v>
      </c>
      <c r="M121" s="14">
        <f t="shared" si="22"/>
        <v>-1.7942583732057371E-2</v>
      </c>
      <c r="N121" s="134">
        <v>113.09</v>
      </c>
      <c r="O121" s="14">
        <f t="shared" si="23"/>
        <v>-3.9004078857919788E-2</v>
      </c>
    </row>
    <row r="122" spans="2:15" x14ac:dyDescent="0.35">
      <c r="B122" s="135" t="s">
        <v>285</v>
      </c>
      <c r="D122" s="58">
        <v>18203.400000000001</v>
      </c>
      <c r="E122" s="14">
        <f t="shared" si="18"/>
        <v>-1.599785938424847E-2</v>
      </c>
      <c r="F122" s="134">
        <v>693.85</v>
      </c>
      <c r="G122" s="14">
        <f t="shared" si="19"/>
        <v>-1.1187117001567604E-2</v>
      </c>
      <c r="H122" s="134">
        <v>104.65</v>
      </c>
      <c r="I122" s="14">
        <f t="shared" si="20"/>
        <v>-1.6447368421052655E-2</v>
      </c>
      <c r="J122" s="134">
        <v>522.4</v>
      </c>
      <c r="K122" s="14">
        <f t="shared" si="21"/>
        <v>3.939656000768732E-3</v>
      </c>
      <c r="L122" s="134">
        <v>82.15</v>
      </c>
      <c r="M122" s="14">
        <f t="shared" si="22"/>
        <v>6.0901339829499967E-4</v>
      </c>
      <c r="N122" s="134">
        <v>113.37</v>
      </c>
      <c r="O122" s="14">
        <f t="shared" si="23"/>
        <v>2.475904147139385E-3</v>
      </c>
    </row>
    <row r="123" spans="2:15" x14ac:dyDescent="0.35">
      <c r="B123" s="135">
        <v>45112</v>
      </c>
      <c r="D123" s="58">
        <v>18314.8</v>
      </c>
      <c r="E123" s="14">
        <f t="shared" si="18"/>
        <v>6.1197358735181062E-3</v>
      </c>
      <c r="F123" s="134">
        <v>702.65</v>
      </c>
      <c r="G123" s="14">
        <f t="shared" si="19"/>
        <v>1.2682856525185526E-2</v>
      </c>
      <c r="H123" s="134">
        <v>106.75</v>
      </c>
      <c r="I123" s="14">
        <f t="shared" si="20"/>
        <v>2.006688963210701E-2</v>
      </c>
      <c r="J123" s="134">
        <v>574.15</v>
      </c>
      <c r="K123" s="14">
        <f t="shared" si="21"/>
        <v>9.9062021439509929E-2</v>
      </c>
      <c r="L123" s="134">
        <v>83.05</v>
      </c>
      <c r="M123" s="14">
        <f t="shared" si="22"/>
        <v>1.0955569080949301E-2</v>
      </c>
      <c r="N123" s="134">
        <v>111.66</v>
      </c>
      <c r="O123" s="14">
        <f t="shared" si="23"/>
        <v>-1.508335538502259E-2</v>
      </c>
    </row>
    <row r="124" spans="2:15" x14ac:dyDescent="0.35">
      <c r="B124" s="135" t="s">
        <v>284</v>
      </c>
      <c r="D124" s="58">
        <v>18069</v>
      </c>
      <c r="E124" s="14">
        <f t="shared" si="18"/>
        <v>-1.3420839976412524E-2</v>
      </c>
      <c r="F124" s="134">
        <v>733.35</v>
      </c>
      <c r="G124" s="14">
        <f t="shared" si="19"/>
        <v>4.3691738418843107E-2</v>
      </c>
      <c r="H124" s="134">
        <v>108.65</v>
      </c>
      <c r="I124" s="14">
        <f t="shared" si="20"/>
        <v>1.779859484777524E-2</v>
      </c>
      <c r="J124" s="134">
        <v>583.1</v>
      </c>
      <c r="K124" s="14">
        <f t="shared" si="21"/>
        <v>1.5588260907428486E-2</v>
      </c>
      <c r="L124" s="134">
        <v>82.7</v>
      </c>
      <c r="M124" s="14">
        <f t="shared" si="22"/>
        <v>-4.2143287176399369E-3</v>
      </c>
      <c r="N124" s="134">
        <v>110.68</v>
      </c>
      <c r="O124" s="14">
        <f t="shared" si="23"/>
        <v>-8.7766433816943712E-3</v>
      </c>
    </row>
    <row r="125" spans="2:15" x14ac:dyDescent="0.35">
      <c r="B125" s="135" t="s">
        <v>283</v>
      </c>
      <c r="D125" s="58">
        <v>18065</v>
      </c>
      <c r="E125" s="14">
        <f t="shared" si="18"/>
        <v>-2.2137362333274346E-4</v>
      </c>
      <c r="F125" s="134">
        <v>725.3</v>
      </c>
      <c r="G125" s="14">
        <f t="shared" si="19"/>
        <v>-1.0977023249471696E-2</v>
      </c>
      <c r="H125" s="134">
        <v>107.95</v>
      </c>
      <c r="I125" s="14">
        <f t="shared" si="20"/>
        <v>-6.4427059364933204E-3</v>
      </c>
      <c r="J125" s="134">
        <v>582.85</v>
      </c>
      <c r="K125" s="14">
        <f t="shared" si="21"/>
        <v>-4.2874292574168749E-4</v>
      </c>
      <c r="L125" s="134">
        <v>82.8</v>
      </c>
      <c r="M125" s="14">
        <f t="shared" si="22"/>
        <v>1.2091898428052694E-3</v>
      </c>
      <c r="N125" s="134">
        <v>111.86</v>
      </c>
      <c r="O125" s="14">
        <f t="shared" si="23"/>
        <v>1.0661366100469749E-2</v>
      </c>
    </row>
    <row r="126" spans="2:15" x14ac:dyDescent="0.35">
      <c r="B126" s="135" t="s">
        <v>282</v>
      </c>
      <c r="D126" s="58">
        <v>17624.05</v>
      </c>
      <c r="E126" s="14">
        <f t="shared" si="18"/>
        <v>-2.4409078328259115E-2</v>
      </c>
      <c r="F126" s="134">
        <v>710.65</v>
      </c>
      <c r="G126" s="14">
        <f t="shared" si="19"/>
        <v>-2.0198538535778243E-2</v>
      </c>
      <c r="H126" s="134">
        <v>106.15</v>
      </c>
      <c r="I126" s="14">
        <f t="shared" si="20"/>
        <v>-1.6674386289948995E-2</v>
      </c>
      <c r="J126" s="134">
        <v>573.04999999999995</v>
      </c>
      <c r="K126" s="14">
        <f t="shared" si="21"/>
        <v>-1.6813931543278815E-2</v>
      </c>
      <c r="L126" s="134">
        <v>81.599999999999994</v>
      </c>
      <c r="M126" s="14">
        <f t="shared" si="22"/>
        <v>-1.449275362318847E-2</v>
      </c>
      <c r="N126" s="134">
        <v>108.44</v>
      </c>
      <c r="O126" s="14">
        <f t="shared" si="23"/>
        <v>-3.0573931700339729E-2</v>
      </c>
    </row>
    <row r="127" spans="2:15" x14ac:dyDescent="0.35">
      <c r="B127" s="135">
        <v>45173</v>
      </c>
      <c r="D127" s="58">
        <v>17828</v>
      </c>
      <c r="E127" s="14">
        <f t="shared" si="18"/>
        <v>1.15722549584234E-2</v>
      </c>
      <c r="F127" s="134">
        <v>720.65</v>
      </c>
      <c r="G127" s="14">
        <f t="shared" si="19"/>
        <v>1.4071624569056418E-2</v>
      </c>
      <c r="H127" s="134">
        <v>107.5</v>
      </c>
      <c r="I127" s="14">
        <f t="shared" si="20"/>
        <v>1.2717852096090443E-2</v>
      </c>
      <c r="J127" s="134">
        <v>560.4</v>
      </c>
      <c r="K127" s="14">
        <f t="shared" si="21"/>
        <v>-2.2074862577436516E-2</v>
      </c>
      <c r="L127" s="134">
        <v>81.55</v>
      </c>
      <c r="M127" s="14">
        <f t="shared" si="22"/>
        <v>-6.1274509803921351E-4</v>
      </c>
      <c r="N127" s="134">
        <v>114.22</v>
      </c>
      <c r="O127" s="14">
        <f t="shared" si="23"/>
        <v>5.3301364810033114E-2</v>
      </c>
    </row>
    <row r="128" spans="2:15" x14ac:dyDescent="0.35">
      <c r="B128" s="135">
        <v>44961</v>
      </c>
      <c r="D128" s="58">
        <v>17599.150000000001</v>
      </c>
      <c r="E128" s="14">
        <f t="shared" si="18"/>
        <v>-1.2836549248373297E-2</v>
      </c>
      <c r="F128" s="134">
        <v>682.7</v>
      </c>
      <c r="G128" s="14">
        <f t="shared" si="19"/>
        <v>-5.2660792340248341E-2</v>
      </c>
      <c r="H128" s="134">
        <v>104.35</v>
      </c>
      <c r="I128" s="14">
        <f t="shared" si="20"/>
        <v>-2.930232558139545E-2</v>
      </c>
      <c r="J128" s="134">
        <v>544.29999999999995</v>
      </c>
      <c r="K128" s="14">
        <f t="shared" si="21"/>
        <v>-2.8729478943611775E-2</v>
      </c>
      <c r="L128" s="134">
        <v>82.1</v>
      </c>
      <c r="M128" s="14">
        <f t="shared" si="22"/>
        <v>6.7443286327406593E-3</v>
      </c>
      <c r="N128" s="134">
        <v>109.23</v>
      </c>
      <c r="O128" s="14">
        <f t="shared" si="23"/>
        <v>-4.3687620381719472E-2</v>
      </c>
    </row>
    <row r="129" spans="2:15" x14ac:dyDescent="0.35">
      <c r="B129" s="135" t="s">
        <v>281</v>
      </c>
      <c r="D129" s="58">
        <v>17359.75</v>
      </c>
      <c r="E129" s="14">
        <f t="shared" si="18"/>
        <v>-1.3602929686945209E-2</v>
      </c>
      <c r="F129" s="134">
        <v>688.1</v>
      </c>
      <c r="G129" s="14">
        <f t="shared" si="19"/>
        <v>7.9097700307602103E-3</v>
      </c>
      <c r="H129" s="134">
        <v>104.5</v>
      </c>
      <c r="I129" s="14">
        <f t="shared" si="20"/>
        <v>1.4374700527073347E-3</v>
      </c>
      <c r="J129" s="134">
        <v>546.20000000000005</v>
      </c>
      <c r="K129" s="14">
        <f t="shared" si="21"/>
        <v>3.4907220282933693E-3</v>
      </c>
      <c r="L129" s="134">
        <v>82.7</v>
      </c>
      <c r="M129" s="14">
        <f t="shared" si="22"/>
        <v>7.3081607795373316E-3</v>
      </c>
      <c r="N129" s="134">
        <v>106.41</v>
      </c>
      <c r="O129" s="14">
        <f t="shared" si="23"/>
        <v>-2.5817083218895975E-2</v>
      </c>
    </row>
    <row r="130" spans="2:15" x14ac:dyDescent="0.35">
      <c r="B130" s="135" t="s">
        <v>280</v>
      </c>
      <c r="D130" s="58">
        <v>16945.05</v>
      </c>
      <c r="E130" s="14">
        <f t="shared" si="18"/>
        <v>-2.388859286568068E-2</v>
      </c>
      <c r="F130" s="134">
        <v>657.8</v>
      </c>
      <c r="G130" s="14">
        <f t="shared" si="19"/>
        <v>-4.4034297340502904E-2</v>
      </c>
      <c r="H130" s="134">
        <v>102.1</v>
      </c>
      <c r="I130" s="14">
        <f t="shared" si="20"/>
        <v>-2.2966507177033524E-2</v>
      </c>
      <c r="J130" s="134">
        <v>534.1</v>
      </c>
      <c r="K130" s="14">
        <f t="shared" si="21"/>
        <v>-2.2153057488099592E-2</v>
      </c>
      <c r="L130" s="134">
        <v>82.35</v>
      </c>
      <c r="M130" s="14">
        <f t="shared" si="22"/>
        <v>-4.232164449818776E-3</v>
      </c>
      <c r="N130" s="134">
        <v>100.76</v>
      </c>
      <c r="O130" s="14">
        <f t="shared" si="23"/>
        <v>-5.3096513485574537E-2</v>
      </c>
    </row>
    <row r="131" spans="2:15" x14ac:dyDescent="0.35">
      <c r="B131" s="135">
        <v>45263</v>
      </c>
      <c r="D131" s="58">
        <v>17100.05</v>
      </c>
      <c r="E131" s="14">
        <f t="shared" si="18"/>
        <v>9.1472140831687643E-3</v>
      </c>
      <c r="F131" s="134">
        <v>676.4</v>
      </c>
      <c r="G131" s="14">
        <f t="shared" si="19"/>
        <v>2.8276071754332666E-2</v>
      </c>
      <c r="H131" s="134">
        <v>107</v>
      </c>
      <c r="I131" s="14">
        <f t="shared" si="20"/>
        <v>4.7992164544564231E-2</v>
      </c>
      <c r="J131" s="134">
        <v>572.04999999999995</v>
      </c>
      <c r="K131" s="14">
        <f t="shared" si="21"/>
        <v>7.1054109717281211E-2</v>
      </c>
      <c r="L131" s="134">
        <v>88.65</v>
      </c>
      <c r="M131" s="14">
        <f t="shared" si="22"/>
        <v>7.6502732240437243E-2</v>
      </c>
      <c r="N131" s="134">
        <v>108.45</v>
      </c>
      <c r="O131" s="14">
        <f t="shared" si="23"/>
        <v>7.6319968241365554E-2</v>
      </c>
    </row>
    <row r="132" spans="2:15" x14ac:dyDescent="0.35">
      <c r="B132" s="135">
        <v>45049</v>
      </c>
      <c r="D132" s="58">
        <v>17412.900000000001</v>
      </c>
      <c r="E132" s="14">
        <f t="shared" si="18"/>
        <v>1.829526814249105E-2</v>
      </c>
      <c r="F132" s="134">
        <v>679.4</v>
      </c>
      <c r="G132" s="14">
        <f t="shared" si="19"/>
        <v>4.4352454169129807E-3</v>
      </c>
      <c r="H132" s="134">
        <v>108.1</v>
      </c>
      <c r="I132" s="14">
        <f t="shared" si="20"/>
        <v>1.0280373831775602E-2</v>
      </c>
      <c r="J132" s="134">
        <v>576.29999999999995</v>
      </c>
      <c r="K132" s="14">
        <f t="shared" si="21"/>
        <v>7.429420505200568E-3</v>
      </c>
      <c r="L132" s="134">
        <v>88.1</v>
      </c>
      <c r="M132" s="14">
        <f t="shared" si="22"/>
        <v>-6.2041737168642141E-3</v>
      </c>
      <c r="N132" s="134">
        <v>119.13</v>
      </c>
      <c r="O132" s="14">
        <f t="shared" si="23"/>
        <v>9.847856154910084E-2</v>
      </c>
    </row>
    <row r="133" spans="2:15" x14ac:dyDescent="0.35">
      <c r="B133" s="135" t="s">
        <v>279</v>
      </c>
      <c r="D133" s="58">
        <v>17594.349999999999</v>
      </c>
      <c r="E133" s="14">
        <f t="shared" si="18"/>
        <v>1.0420435424311592E-2</v>
      </c>
      <c r="F133" s="134">
        <v>682.3</v>
      </c>
      <c r="G133" s="14">
        <f t="shared" si="19"/>
        <v>4.2684721813364135E-3</v>
      </c>
      <c r="H133" s="134">
        <v>107</v>
      </c>
      <c r="I133" s="14">
        <f t="shared" si="20"/>
        <v>-1.0175763182238562E-2</v>
      </c>
      <c r="J133" s="134">
        <v>589.04999999999995</v>
      </c>
      <c r="K133" s="14">
        <f t="shared" si="21"/>
        <v>2.2123893805309658E-2</v>
      </c>
      <c r="L133" s="134">
        <v>87.8</v>
      </c>
      <c r="M133" s="14">
        <f t="shared" si="22"/>
        <v>-3.4052213393870323E-3</v>
      </c>
      <c r="N133" s="134">
        <v>110.84</v>
      </c>
      <c r="O133" s="14">
        <f t="shared" si="23"/>
        <v>-6.958784521111383E-2</v>
      </c>
    </row>
    <row r="134" spans="2:15" x14ac:dyDescent="0.35">
      <c r="B134" s="135" t="s">
        <v>278</v>
      </c>
      <c r="D134" s="58">
        <v>17465.8</v>
      </c>
      <c r="E134" s="14">
        <f t="shared" si="18"/>
        <v>-7.3063227683887177E-3</v>
      </c>
      <c r="F134" s="134">
        <v>685</v>
      </c>
      <c r="G134" s="14">
        <f t="shared" si="19"/>
        <v>3.9572035761394897E-3</v>
      </c>
      <c r="H134" s="134">
        <v>109.75</v>
      </c>
      <c r="I134" s="14">
        <f t="shared" si="20"/>
        <v>2.5700934579439227E-2</v>
      </c>
      <c r="J134" s="134">
        <v>560.29999999999995</v>
      </c>
      <c r="K134" s="14">
        <f t="shared" si="21"/>
        <v>-4.8807401748578227E-2</v>
      </c>
      <c r="L134" s="134">
        <v>82.95</v>
      </c>
      <c r="M134" s="14">
        <f t="shared" si="22"/>
        <v>-5.523917995444183E-2</v>
      </c>
      <c r="N134" s="134">
        <v>111.7</v>
      </c>
      <c r="O134" s="14">
        <f t="shared" si="23"/>
        <v>7.7589317935762292E-3</v>
      </c>
    </row>
    <row r="135" spans="2:15" x14ac:dyDescent="0.35">
      <c r="B135" s="135">
        <v>45262</v>
      </c>
      <c r="D135" s="58">
        <v>17944.2</v>
      </c>
      <c r="E135" s="14">
        <f t="shared" si="18"/>
        <v>2.7390672056247123E-2</v>
      </c>
      <c r="F135" s="134">
        <v>728.4</v>
      </c>
      <c r="G135" s="14">
        <f t="shared" si="19"/>
        <v>6.3357664233576694E-2</v>
      </c>
      <c r="H135" s="134">
        <v>112.25</v>
      </c>
      <c r="I135" s="14">
        <f t="shared" si="20"/>
        <v>2.277904328018221E-2</v>
      </c>
      <c r="J135" s="134">
        <v>590.1</v>
      </c>
      <c r="K135" s="14">
        <f t="shared" si="21"/>
        <v>5.3185793325004616E-2</v>
      </c>
      <c r="L135" s="134">
        <v>86.15</v>
      </c>
      <c r="M135" s="14">
        <f t="shared" si="22"/>
        <v>3.8577456298975354E-2</v>
      </c>
      <c r="N135" s="134">
        <v>110.45</v>
      </c>
      <c r="O135" s="14">
        <f t="shared" si="23"/>
        <v>-1.1190689346463722E-2</v>
      </c>
    </row>
    <row r="136" spans="2:15" x14ac:dyDescent="0.35">
      <c r="B136" s="135">
        <v>45048</v>
      </c>
      <c r="D136" s="58">
        <v>17856.5</v>
      </c>
      <c r="E136" s="14">
        <f t="shared" si="18"/>
        <v>-4.8873730787664105E-3</v>
      </c>
      <c r="F136" s="134">
        <v>718.95</v>
      </c>
      <c r="G136" s="14">
        <f t="shared" si="19"/>
        <v>-1.2973640856672075E-2</v>
      </c>
      <c r="H136" s="134">
        <v>108.8</v>
      </c>
      <c r="I136" s="14">
        <f t="shared" si="20"/>
        <v>-3.0734966592427693E-2</v>
      </c>
      <c r="J136" s="134">
        <v>581.29999999999995</v>
      </c>
      <c r="K136" s="14">
        <f t="shared" si="21"/>
        <v>-1.4912726656499009E-2</v>
      </c>
      <c r="L136" s="134">
        <v>84.55</v>
      </c>
      <c r="M136" s="14">
        <f t="shared" si="22"/>
        <v>-1.8572257690075533E-2</v>
      </c>
      <c r="N136" s="134">
        <v>111.57</v>
      </c>
      <c r="O136" s="14">
        <f t="shared" si="23"/>
        <v>1.0140334993209432E-2</v>
      </c>
    </row>
    <row r="137" spans="2:15" x14ac:dyDescent="0.35">
      <c r="B137" s="135" t="s">
        <v>277</v>
      </c>
      <c r="D137" s="58">
        <v>17854.05</v>
      </c>
      <c r="E137" s="14">
        <f t="shared" si="18"/>
        <v>-1.3720493937785516E-4</v>
      </c>
      <c r="F137" s="134">
        <v>731.85</v>
      </c>
      <c r="G137" s="14">
        <f t="shared" si="19"/>
        <v>1.7942833298560279E-2</v>
      </c>
      <c r="H137" s="134">
        <v>120.35</v>
      </c>
      <c r="I137" s="14">
        <f t="shared" si="20"/>
        <v>0.10615808823529416</v>
      </c>
      <c r="J137" s="134">
        <v>582.65</v>
      </c>
      <c r="K137" s="14">
        <f t="shared" si="21"/>
        <v>2.3223808704628812E-3</v>
      </c>
      <c r="L137" s="134">
        <v>85.95</v>
      </c>
      <c r="M137" s="14">
        <f t="shared" si="22"/>
        <v>1.6558249556475557E-2</v>
      </c>
      <c r="N137" s="134">
        <v>105.51</v>
      </c>
      <c r="O137" s="14">
        <f t="shared" si="23"/>
        <v>-5.4315676257058243E-2</v>
      </c>
    </row>
    <row r="138" spans="2:15" x14ac:dyDescent="0.35">
      <c r="B138" s="135" t="s">
        <v>276</v>
      </c>
      <c r="D138" s="58">
        <v>17604.349999999999</v>
      </c>
      <c r="E138" s="14">
        <f t="shared" si="18"/>
        <v>-1.3985622309784063E-2</v>
      </c>
      <c r="F138" s="134">
        <v>721.35</v>
      </c>
      <c r="G138" s="14">
        <f t="shared" si="19"/>
        <v>-1.4347202295552419E-2</v>
      </c>
      <c r="H138" s="134">
        <v>120.65</v>
      </c>
      <c r="I138" s="14">
        <f t="shared" si="20"/>
        <v>2.492729538845051E-3</v>
      </c>
      <c r="J138" s="134">
        <v>588.15</v>
      </c>
      <c r="K138" s="14">
        <f t="shared" si="21"/>
        <v>9.4396292800136283E-3</v>
      </c>
      <c r="L138" s="134">
        <v>88.15</v>
      </c>
      <c r="M138" s="14">
        <f t="shared" si="22"/>
        <v>2.5596276905177406E-2</v>
      </c>
      <c r="N138" s="134">
        <v>106.13</v>
      </c>
      <c r="O138" s="14">
        <f t="shared" si="23"/>
        <v>5.8762202634821126E-3</v>
      </c>
    </row>
    <row r="139" spans="2:15" x14ac:dyDescent="0.35">
      <c r="B139" s="135" t="s">
        <v>275</v>
      </c>
      <c r="D139" s="58">
        <v>18027.650000000001</v>
      </c>
      <c r="E139" s="14">
        <f t="shared" si="18"/>
        <v>2.4045193375501039E-2</v>
      </c>
      <c r="F139" s="134">
        <v>741.45</v>
      </c>
      <c r="G139" s="14">
        <f t="shared" si="19"/>
        <v>2.786442087752139E-2</v>
      </c>
      <c r="H139" s="134">
        <v>122.95</v>
      </c>
      <c r="I139" s="14">
        <f t="shared" si="20"/>
        <v>1.9063406547865647E-2</v>
      </c>
      <c r="J139" s="134">
        <v>601.1</v>
      </c>
      <c r="K139" s="14">
        <f t="shared" si="21"/>
        <v>2.2018192637932588E-2</v>
      </c>
      <c r="L139" s="134">
        <v>91.5</v>
      </c>
      <c r="M139" s="14">
        <f t="shared" si="22"/>
        <v>3.800340328984686E-2</v>
      </c>
      <c r="N139" s="134">
        <v>111.22</v>
      </c>
      <c r="O139" s="14">
        <f t="shared" si="23"/>
        <v>4.7960048996513738E-2</v>
      </c>
    </row>
    <row r="140" spans="2:15" x14ac:dyDescent="0.35">
      <c r="B140" s="135">
        <v>45139</v>
      </c>
      <c r="D140" s="58">
        <v>17956.599999999999</v>
      </c>
      <c r="E140" s="14">
        <f t="shared" si="18"/>
        <v>-3.9411681500363116E-3</v>
      </c>
      <c r="F140" s="134">
        <v>768.5</v>
      </c>
      <c r="G140" s="14">
        <f t="shared" si="19"/>
        <v>3.6482567941196198E-2</v>
      </c>
      <c r="H140" s="134">
        <v>120.45</v>
      </c>
      <c r="I140" s="14">
        <f t="shared" si="20"/>
        <v>-2.0333468889792594E-2</v>
      </c>
      <c r="J140" s="134">
        <v>610</v>
      </c>
      <c r="K140" s="14">
        <f t="shared" si="21"/>
        <v>1.4806188654133967E-2</v>
      </c>
      <c r="L140" s="134">
        <v>88.85</v>
      </c>
      <c r="M140" s="14">
        <f t="shared" si="22"/>
        <v>-2.8961748633879791E-2</v>
      </c>
      <c r="N140" s="134">
        <v>108.53</v>
      </c>
      <c r="O140" s="14">
        <f t="shared" si="23"/>
        <v>-2.4186297428520076E-2</v>
      </c>
    </row>
    <row r="141" spans="2:15" x14ac:dyDescent="0.35">
      <c r="B141" s="135">
        <v>44927</v>
      </c>
      <c r="D141" s="58">
        <v>17859.45</v>
      </c>
      <c r="E141" s="14">
        <f t="shared" si="18"/>
        <v>-5.4102669770444978E-3</v>
      </c>
      <c r="F141" s="134">
        <v>728.35</v>
      </c>
      <c r="G141" s="14">
        <f t="shared" si="19"/>
        <v>-5.2244632400780699E-2</v>
      </c>
      <c r="H141" s="134">
        <v>115.65</v>
      </c>
      <c r="I141" s="14">
        <f t="shared" si="20"/>
        <v>-3.9850560398505541E-2</v>
      </c>
      <c r="J141" s="134">
        <v>591.1</v>
      </c>
      <c r="K141" s="14">
        <f t="shared" si="21"/>
        <v>-3.0983606557376975E-2</v>
      </c>
      <c r="L141" s="134">
        <v>85.9</v>
      </c>
      <c r="M141" s="14">
        <f t="shared" si="22"/>
        <v>-3.3202025886325148E-2</v>
      </c>
      <c r="N141" s="134">
        <v>108.92</v>
      </c>
      <c r="O141" s="14">
        <f t="shared" si="23"/>
        <v>3.5934764581222467E-3</v>
      </c>
    </row>
    <row r="142" spans="2:15" x14ac:dyDescent="0.35">
      <c r="B142" s="135" t="s">
        <v>274</v>
      </c>
      <c r="D142" s="58">
        <v>18105.3</v>
      </c>
      <c r="E142" s="14">
        <f t="shared" ref="E142:E173" si="24">D142/D141-1</f>
        <v>1.3765821455867799E-2</v>
      </c>
      <c r="F142" s="134">
        <v>768.05</v>
      </c>
      <c r="G142" s="14">
        <f t="shared" ref="G142:G173" si="25">F142/F141-1</f>
        <v>5.4506761858996278E-2</v>
      </c>
      <c r="H142" s="134">
        <v>112.65</v>
      </c>
      <c r="I142" s="14">
        <f t="shared" ref="I142:I173" si="26">H142/H141-1</f>
        <v>-2.5940337224383936E-2</v>
      </c>
      <c r="J142" s="134">
        <v>580.6</v>
      </c>
      <c r="K142" s="14">
        <f t="shared" ref="K142:K173" si="27">J142/J141-1</f>
        <v>-1.7763491794958508E-2</v>
      </c>
      <c r="L142" s="134">
        <v>82.65</v>
      </c>
      <c r="M142" s="14">
        <f t="shared" ref="M142:M173" si="28">L142/L141-1</f>
        <v>-3.7834691501746232E-2</v>
      </c>
      <c r="N142" s="134">
        <v>103.86</v>
      </c>
      <c r="O142" s="14">
        <f t="shared" ref="O142:O173" si="29">N142/N141-1</f>
        <v>-4.6456114579507934E-2</v>
      </c>
    </row>
    <row r="143" spans="2:15" x14ac:dyDescent="0.35">
      <c r="B143" s="135" t="s">
        <v>273</v>
      </c>
      <c r="D143" s="58">
        <v>17806.8</v>
      </c>
      <c r="E143" s="14">
        <f t="shared" si="24"/>
        <v>-1.6486885055757128E-2</v>
      </c>
      <c r="F143" s="134">
        <v>727.85</v>
      </c>
      <c r="G143" s="14">
        <f t="shared" si="25"/>
        <v>-5.2340342425623243E-2</v>
      </c>
      <c r="H143" s="134">
        <v>102.25</v>
      </c>
      <c r="I143" s="14">
        <f t="shared" si="26"/>
        <v>-9.23213493120284E-2</v>
      </c>
      <c r="J143" s="134">
        <v>524.29999999999995</v>
      </c>
      <c r="K143" s="14">
        <f t="shared" si="27"/>
        <v>-9.6968653117464831E-2</v>
      </c>
      <c r="L143" s="134">
        <v>74.7</v>
      </c>
      <c r="M143" s="14">
        <f t="shared" si="28"/>
        <v>-9.6188747731397517E-2</v>
      </c>
      <c r="N143" s="134">
        <v>91.94</v>
      </c>
      <c r="O143" s="14">
        <f t="shared" si="29"/>
        <v>-0.11476988253418063</v>
      </c>
    </row>
    <row r="144" spans="2:15" x14ac:dyDescent="0.35">
      <c r="B144" s="135">
        <v>44877</v>
      </c>
      <c r="D144" s="58">
        <v>18269</v>
      </c>
      <c r="E144" s="14">
        <f t="shared" si="24"/>
        <v>2.5956376215827692E-2</v>
      </c>
      <c r="F144" s="134">
        <v>743.45</v>
      </c>
      <c r="G144" s="14">
        <f t="shared" si="25"/>
        <v>2.1432987566119444E-2</v>
      </c>
      <c r="H144" s="134">
        <v>111.05</v>
      </c>
      <c r="I144" s="14">
        <f t="shared" si="26"/>
        <v>8.6063569682151453E-2</v>
      </c>
      <c r="J144" s="134">
        <v>542.9</v>
      </c>
      <c r="K144" s="14">
        <f t="shared" si="27"/>
        <v>3.5475872592027446E-2</v>
      </c>
      <c r="L144" s="134">
        <v>82.6</v>
      </c>
      <c r="M144" s="14">
        <f t="shared" si="28"/>
        <v>0.10575635876840694</v>
      </c>
      <c r="N144" s="134">
        <v>102.79</v>
      </c>
      <c r="O144" s="14">
        <f t="shared" si="29"/>
        <v>0.11801174679138571</v>
      </c>
    </row>
    <row r="145" spans="2:15" x14ac:dyDescent="0.35">
      <c r="B145" s="135">
        <v>44663</v>
      </c>
      <c r="D145" s="58">
        <v>18496.599999999999</v>
      </c>
      <c r="E145" s="14">
        <f t="shared" si="24"/>
        <v>1.2458262630685724E-2</v>
      </c>
      <c r="F145" s="134">
        <v>740.4</v>
      </c>
      <c r="G145" s="14">
        <f t="shared" si="25"/>
        <v>-4.1024951240837826E-3</v>
      </c>
      <c r="H145" s="134">
        <v>110.45</v>
      </c>
      <c r="I145" s="14">
        <f t="shared" si="26"/>
        <v>-5.4029716343988454E-3</v>
      </c>
      <c r="J145" s="134">
        <v>545.79999999999995</v>
      </c>
      <c r="K145" s="14">
        <f t="shared" si="27"/>
        <v>5.3416835512984928E-3</v>
      </c>
      <c r="L145" s="134">
        <v>84.55</v>
      </c>
      <c r="M145" s="14">
        <f t="shared" si="28"/>
        <v>2.3607748184019339E-2</v>
      </c>
      <c r="N145" s="134">
        <v>102.61</v>
      </c>
      <c r="O145" s="14">
        <f t="shared" si="29"/>
        <v>-1.7511431073061745E-3</v>
      </c>
    </row>
    <row r="146" spans="2:15" x14ac:dyDescent="0.35">
      <c r="B146" s="135" t="s">
        <v>272</v>
      </c>
      <c r="D146" s="58">
        <v>18696.099999999999</v>
      </c>
      <c r="E146" s="14">
        <f t="shared" si="24"/>
        <v>1.0785766032676225E-2</v>
      </c>
      <c r="F146" s="134">
        <v>743.05</v>
      </c>
      <c r="G146" s="14">
        <f t="shared" si="25"/>
        <v>3.5791464073473556E-3</v>
      </c>
      <c r="H146" s="134">
        <v>112</v>
      </c>
      <c r="I146" s="14">
        <f t="shared" si="26"/>
        <v>1.4033499320959653E-2</v>
      </c>
      <c r="J146" s="134">
        <v>564.45000000000005</v>
      </c>
      <c r="K146" s="14">
        <f t="shared" si="27"/>
        <v>3.4170025650421598E-2</v>
      </c>
      <c r="L146" s="134">
        <v>86.75</v>
      </c>
      <c r="M146" s="14">
        <f t="shared" si="28"/>
        <v>2.6020106445890034E-2</v>
      </c>
      <c r="N146" s="134">
        <v>104.22</v>
      </c>
      <c r="O146" s="14">
        <f t="shared" si="29"/>
        <v>1.5690478510866468E-2</v>
      </c>
    </row>
    <row r="147" spans="2:15" x14ac:dyDescent="0.35">
      <c r="B147" s="135" t="s">
        <v>271</v>
      </c>
      <c r="D147" s="58">
        <v>18512.75</v>
      </c>
      <c r="E147" s="14">
        <f t="shared" si="24"/>
        <v>-9.8068581147938705E-3</v>
      </c>
      <c r="F147" s="134">
        <v>726.2</v>
      </c>
      <c r="G147" s="14">
        <f t="shared" si="25"/>
        <v>-2.2676805060224625E-2</v>
      </c>
      <c r="H147" s="134">
        <v>106.2</v>
      </c>
      <c r="I147" s="14">
        <f t="shared" si="26"/>
        <v>-5.1785714285714213E-2</v>
      </c>
      <c r="J147" s="134">
        <v>520.79999999999995</v>
      </c>
      <c r="K147" s="14">
        <f t="shared" si="27"/>
        <v>-7.7331916024448777E-2</v>
      </c>
      <c r="L147" s="134">
        <v>83.35</v>
      </c>
      <c r="M147" s="14">
        <f t="shared" si="28"/>
        <v>-3.9193083573487053E-2</v>
      </c>
      <c r="N147" s="134">
        <v>92.72</v>
      </c>
      <c r="O147" s="14">
        <f t="shared" si="29"/>
        <v>-0.11034350412588756</v>
      </c>
    </row>
    <row r="148" spans="2:15" x14ac:dyDescent="0.35">
      <c r="B148" s="135" t="s">
        <v>270</v>
      </c>
      <c r="D148" s="58">
        <v>18307.650000000001</v>
      </c>
      <c r="E148" s="14">
        <f t="shared" si="24"/>
        <v>-1.1078851062105821E-2</v>
      </c>
      <c r="F148" s="134">
        <v>708.2</v>
      </c>
      <c r="G148" s="14">
        <f t="shared" si="25"/>
        <v>-2.478656017626002E-2</v>
      </c>
      <c r="H148" s="134">
        <v>105.5</v>
      </c>
      <c r="I148" s="14">
        <f t="shared" si="26"/>
        <v>-6.5913370998117449E-3</v>
      </c>
      <c r="J148" s="134">
        <v>517.75</v>
      </c>
      <c r="K148" s="14">
        <f t="shared" si="27"/>
        <v>-5.8563748079876188E-3</v>
      </c>
      <c r="L148" s="134">
        <v>80.650000000000006</v>
      </c>
      <c r="M148" s="14">
        <f t="shared" si="28"/>
        <v>-3.239352129574069E-2</v>
      </c>
      <c r="N148" s="134">
        <v>90.01</v>
      </c>
      <c r="O148" s="14">
        <f t="shared" si="29"/>
        <v>-2.9227782571181971E-2</v>
      </c>
    </row>
    <row r="149" spans="2:15" x14ac:dyDescent="0.35">
      <c r="B149" s="135">
        <v>44723</v>
      </c>
      <c r="D149" s="58">
        <v>18349.7</v>
      </c>
      <c r="E149" s="14">
        <f t="shared" si="24"/>
        <v>2.296854047351804E-3</v>
      </c>
      <c r="F149" s="134">
        <v>719</v>
      </c>
      <c r="G149" s="14">
        <f t="shared" si="25"/>
        <v>1.5249929398474915E-2</v>
      </c>
      <c r="H149" s="134">
        <v>107.55</v>
      </c>
      <c r="I149" s="14">
        <f t="shared" si="26"/>
        <v>1.9431279620853115E-2</v>
      </c>
      <c r="J149" s="134">
        <v>498.9</v>
      </c>
      <c r="K149" s="14">
        <f t="shared" si="27"/>
        <v>-3.6407532592950265E-2</v>
      </c>
      <c r="L149" s="134">
        <v>85.5</v>
      </c>
      <c r="M149" s="14">
        <f t="shared" si="28"/>
        <v>6.0136391816490997E-2</v>
      </c>
      <c r="N149" s="134">
        <v>86.82</v>
      </c>
      <c r="O149" s="14">
        <f t="shared" si="29"/>
        <v>-3.5440506610376787E-2</v>
      </c>
    </row>
    <row r="150" spans="2:15" x14ac:dyDescent="0.35">
      <c r="B150" s="135" t="s">
        <v>269</v>
      </c>
      <c r="D150" s="58">
        <v>18117.150000000001</v>
      </c>
      <c r="E150" s="14">
        <f t="shared" si="24"/>
        <v>-1.2673231714959932E-2</v>
      </c>
      <c r="F150" s="134">
        <v>701.75</v>
      </c>
      <c r="G150" s="14">
        <f t="shared" si="25"/>
        <v>-2.3991655076495144E-2</v>
      </c>
      <c r="H150" s="134">
        <v>104.75</v>
      </c>
      <c r="I150" s="14">
        <f t="shared" si="26"/>
        <v>-2.6034402603440254E-2</v>
      </c>
      <c r="J150" s="134">
        <v>477.35</v>
      </c>
      <c r="K150" s="14">
        <f t="shared" si="27"/>
        <v>-4.3195029063940571E-2</v>
      </c>
      <c r="L150" s="134">
        <v>84.1</v>
      </c>
      <c r="M150" s="14">
        <f t="shared" si="28"/>
        <v>-1.6374269005848041E-2</v>
      </c>
      <c r="N150" s="134">
        <v>83.91</v>
      </c>
      <c r="O150" s="14">
        <f t="shared" si="29"/>
        <v>-3.3517622667588065E-2</v>
      </c>
    </row>
    <row r="151" spans="2:15" x14ac:dyDescent="0.35">
      <c r="B151" s="135" t="s">
        <v>268</v>
      </c>
      <c r="D151" s="58">
        <v>17786.8</v>
      </c>
      <c r="E151" s="14">
        <f t="shared" si="24"/>
        <v>-1.8234104149935426E-2</v>
      </c>
      <c r="F151" s="134">
        <v>670.4</v>
      </c>
      <c r="G151" s="14">
        <f t="shared" si="25"/>
        <v>-4.4674029212682598E-2</v>
      </c>
      <c r="H151" s="134">
        <v>101.6</v>
      </c>
      <c r="I151" s="14">
        <f t="shared" si="26"/>
        <v>-3.0071599045346065E-2</v>
      </c>
      <c r="J151" s="134">
        <v>453.9</v>
      </c>
      <c r="K151" s="14">
        <f t="shared" si="27"/>
        <v>-4.9125379700429517E-2</v>
      </c>
      <c r="L151" s="134">
        <v>78.95</v>
      </c>
      <c r="M151" s="14">
        <f t="shared" si="28"/>
        <v>-6.123662306777633E-2</v>
      </c>
      <c r="N151" s="134">
        <v>81.62</v>
      </c>
      <c r="O151" s="14">
        <f t="shared" si="29"/>
        <v>-2.7291145274699002E-2</v>
      </c>
    </row>
    <row r="152" spans="2:15" x14ac:dyDescent="0.35">
      <c r="B152" s="135" t="s">
        <v>267</v>
      </c>
      <c r="D152" s="58">
        <v>17576.3</v>
      </c>
      <c r="E152" s="14">
        <f t="shared" si="24"/>
        <v>-1.1834618930892549E-2</v>
      </c>
      <c r="F152" s="134">
        <v>622.04999999999995</v>
      </c>
      <c r="G152" s="14">
        <f t="shared" si="25"/>
        <v>-7.2121121718377146E-2</v>
      </c>
      <c r="H152" s="134">
        <v>100.2</v>
      </c>
      <c r="I152" s="14">
        <f t="shared" si="26"/>
        <v>-1.3779527559054983E-2</v>
      </c>
      <c r="J152" s="134">
        <v>437.95</v>
      </c>
      <c r="K152" s="14">
        <f t="shared" si="27"/>
        <v>-3.5139898656091573E-2</v>
      </c>
      <c r="L152" s="134">
        <v>77.849999999999994</v>
      </c>
      <c r="M152" s="14">
        <f t="shared" si="28"/>
        <v>-1.3932868904369955E-2</v>
      </c>
      <c r="N152" s="134">
        <v>81.67</v>
      </c>
      <c r="O152" s="14">
        <f t="shared" si="29"/>
        <v>6.1259495221754889E-4</v>
      </c>
    </row>
    <row r="153" spans="2:15" x14ac:dyDescent="0.35">
      <c r="B153" s="135">
        <v>44814</v>
      </c>
      <c r="D153" s="58">
        <v>17185.7</v>
      </c>
      <c r="E153" s="14">
        <f t="shared" si="24"/>
        <v>-2.2223107252379526E-2</v>
      </c>
      <c r="F153" s="134">
        <v>640.25</v>
      </c>
      <c r="G153" s="14">
        <f t="shared" si="25"/>
        <v>2.925809822361547E-2</v>
      </c>
      <c r="H153" s="134">
        <v>100.1</v>
      </c>
      <c r="I153" s="14">
        <f t="shared" si="26"/>
        <v>-9.9800399201610546E-4</v>
      </c>
      <c r="J153" s="134">
        <v>435.85</v>
      </c>
      <c r="K153" s="14">
        <f t="shared" si="27"/>
        <v>-4.79506793012896E-3</v>
      </c>
      <c r="L153" s="134">
        <v>77.900000000000006</v>
      </c>
      <c r="M153" s="14">
        <f t="shared" si="28"/>
        <v>6.4226075786777415E-4</v>
      </c>
      <c r="N153" s="134">
        <v>81.06</v>
      </c>
      <c r="O153" s="14">
        <f t="shared" si="29"/>
        <v>-7.4690828945757071E-3</v>
      </c>
    </row>
    <row r="154" spans="2:15" x14ac:dyDescent="0.35">
      <c r="B154" s="135">
        <v>44602</v>
      </c>
      <c r="D154" s="58">
        <v>17314.650000000001</v>
      </c>
      <c r="E154" s="14">
        <f t="shared" si="24"/>
        <v>7.5033312579644296E-3</v>
      </c>
      <c r="F154" s="134">
        <v>666.05</v>
      </c>
      <c r="G154" s="14">
        <f t="shared" si="25"/>
        <v>4.0296759078484845E-2</v>
      </c>
      <c r="H154" s="134">
        <v>103.3</v>
      </c>
      <c r="I154" s="14">
        <f t="shared" si="26"/>
        <v>3.1968031968031996E-2</v>
      </c>
      <c r="J154" s="134">
        <v>446.3</v>
      </c>
      <c r="K154" s="14">
        <f t="shared" si="27"/>
        <v>2.3976138579786532E-2</v>
      </c>
      <c r="L154" s="134">
        <v>81.05</v>
      </c>
      <c r="M154" s="14">
        <f t="shared" si="28"/>
        <v>4.043645699614884E-2</v>
      </c>
      <c r="N154" s="134">
        <v>85.53</v>
      </c>
      <c r="O154" s="14">
        <f t="shared" si="29"/>
        <v>5.5144337527757159E-2</v>
      </c>
    </row>
    <row r="155" spans="2:15" x14ac:dyDescent="0.35">
      <c r="B155" s="135" t="s">
        <v>266</v>
      </c>
      <c r="D155" s="58">
        <v>17094.349999999999</v>
      </c>
      <c r="E155" s="14">
        <f t="shared" si="24"/>
        <v>-1.2723329665918937E-2</v>
      </c>
      <c r="F155" s="134">
        <v>631.65</v>
      </c>
      <c r="G155" s="14">
        <f t="shared" si="25"/>
        <v>-5.1647774191126761E-2</v>
      </c>
      <c r="H155" s="134">
        <v>99.3</v>
      </c>
      <c r="I155" s="14">
        <f t="shared" si="26"/>
        <v>-3.8722168441432725E-2</v>
      </c>
      <c r="J155" s="134">
        <v>428.6</v>
      </c>
      <c r="K155" s="14">
        <f t="shared" si="27"/>
        <v>-3.9659421913511017E-2</v>
      </c>
      <c r="L155" s="134">
        <v>76.75</v>
      </c>
      <c r="M155" s="14">
        <f t="shared" si="28"/>
        <v>-5.3053670573719902E-2</v>
      </c>
      <c r="N155" s="134">
        <v>86.82</v>
      </c>
      <c r="O155" s="14">
        <f t="shared" si="29"/>
        <v>1.5082427218519712E-2</v>
      </c>
    </row>
    <row r="156" spans="2:15" x14ac:dyDescent="0.35">
      <c r="B156" s="135" t="s">
        <v>265</v>
      </c>
      <c r="D156" s="58">
        <v>17327.349999999999</v>
      </c>
      <c r="E156" s="14">
        <f t="shared" si="24"/>
        <v>1.3630234551182063E-2</v>
      </c>
      <c r="F156" s="134">
        <v>669</v>
      </c>
      <c r="G156" s="14">
        <f t="shared" si="25"/>
        <v>5.9130847779624851E-2</v>
      </c>
      <c r="H156" s="134">
        <v>104.3</v>
      </c>
      <c r="I156" s="14">
        <f t="shared" si="26"/>
        <v>5.0352467270896373E-2</v>
      </c>
      <c r="J156" s="134">
        <v>425.8</v>
      </c>
      <c r="K156" s="14">
        <f t="shared" si="27"/>
        <v>-6.5328978068128762E-3</v>
      </c>
      <c r="L156" s="134">
        <v>78.150000000000006</v>
      </c>
      <c r="M156" s="14">
        <f t="shared" si="28"/>
        <v>1.8241042345277014E-2</v>
      </c>
      <c r="N156" s="134">
        <v>84.78</v>
      </c>
      <c r="O156" s="14">
        <f t="shared" si="29"/>
        <v>-2.3496890117484348E-2</v>
      </c>
    </row>
    <row r="157" spans="2:15" x14ac:dyDescent="0.35">
      <c r="B157" s="135">
        <v>44874</v>
      </c>
      <c r="D157" s="58">
        <v>17530.849999999999</v>
      </c>
      <c r="E157" s="14">
        <f t="shared" si="24"/>
        <v>1.1744438705283855E-2</v>
      </c>
      <c r="F157" s="134">
        <v>685.85</v>
      </c>
      <c r="G157" s="14">
        <f t="shared" si="25"/>
        <v>2.5186846038864008E-2</v>
      </c>
      <c r="H157" s="134">
        <v>105.7</v>
      </c>
      <c r="I157" s="14">
        <f t="shared" si="26"/>
        <v>1.3422818791946289E-2</v>
      </c>
      <c r="J157" s="134">
        <v>435.8</v>
      </c>
      <c r="K157" s="14">
        <f t="shared" si="27"/>
        <v>2.3485204321277653E-2</v>
      </c>
      <c r="L157" s="134">
        <v>80.650000000000006</v>
      </c>
      <c r="M157" s="14">
        <f t="shared" si="28"/>
        <v>3.1989763275751759E-2</v>
      </c>
      <c r="N157" s="134">
        <v>90.56</v>
      </c>
      <c r="O157" s="14">
        <f t="shared" si="29"/>
        <v>6.8176456711488642E-2</v>
      </c>
    </row>
    <row r="158" spans="2:15" x14ac:dyDescent="0.35">
      <c r="B158" s="135">
        <v>44660</v>
      </c>
      <c r="D158" s="58">
        <v>17833.349999999999</v>
      </c>
      <c r="E158" s="14">
        <f t="shared" si="24"/>
        <v>1.7255295664500014E-2</v>
      </c>
      <c r="F158" s="134">
        <v>686.95</v>
      </c>
      <c r="G158" s="14">
        <f t="shared" si="25"/>
        <v>1.6038492381715841E-3</v>
      </c>
      <c r="H158" s="134">
        <v>105.7</v>
      </c>
      <c r="I158" s="14">
        <f t="shared" si="26"/>
        <v>0</v>
      </c>
      <c r="J158" s="134">
        <v>430.95</v>
      </c>
      <c r="K158" s="14">
        <f t="shared" si="27"/>
        <v>-1.1128958237723752E-2</v>
      </c>
      <c r="L158" s="134">
        <v>82.15</v>
      </c>
      <c r="M158" s="14">
        <f t="shared" si="28"/>
        <v>1.8598884066955979E-2</v>
      </c>
      <c r="N158" s="134">
        <v>89.33</v>
      </c>
      <c r="O158" s="14">
        <f t="shared" si="29"/>
        <v>-1.3582155477031899E-2</v>
      </c>
    </row>
    <row r="159" spans="2:15" x14ac:dyDescent="0.35">
      <c r="B159" s="135" t="s">
        <v>264</v>
      </c>
      <c r="D159" s="58">
        <v>17539.45</v>
      </c>
      <c r="E159" s="14">
        <f t="shared" si="24"/>
        <v>-1.6480358429571407E-2</v>
      </c>
      <c r="F159" s="134">
        <v>661.4</v>
      </c>
      <c r="G159" s="14">
        <f t="shared" si="25"/>
        <v>-3.7193391076497662E-2</v>
      </c>
      <c r="H159" s="134">
        <v>105.5</v>
      </c>
      <c r="I159" s="14">
        <f t="shared" si="26"/>
        <v>-1.8921475875118832E-3</v>
      </c>
      <c r="J159" s="134">
        <v>418.2</v>
      </c>
      <c r="K159" s="14">
        <f t="shared" si="27"/>
        <v>-2.9585798816568087E-2</v>
      </c>
      <c r="L159" s="134">
        <v>79.2</v>
      </c>
      <c r="M159" s="14">
        <f t="shared" si="28"/>
        <v>-3.5909920876445511E-2</v>
      </c>
      <c r="N159" s="134">
        <v>88.51</v>
      </c>
      <c r="O159" s="14">
        <f t="shared" si="29"/>
        <v>-9.1794469942907408E-3</v>
      </c>
    </row>
    <row r="160" spans="2:15" x14ac:dyDescent="0.35">
      <c r="B160" s="135" t="s">
        <v>263</v>
      </c>
      <c r="D160" s="58">
        <v>17558.900000000001</v>
      </c>
      <c r="E160" s="14">
        <f t="shared" si="24"/>
        <v>1.1089287292360694E-3</v>
      </c>
      <c r="F160" s="134">
        <v>667</v>
      </c>
      <c r="G160" s="14">
        <f t="shared" si="25"/>
        <v>8.4668884185061799E-3</v>
      </c>
      <c r="H160" s="134">
        <v>107.35</v>
      </c>
      <c r="I160" s="14">
        <f t="shared" si="26"/>
        <v>1.7535545023696697E-2</v>
      </c>
      <c r="J160" s="134">
        <v>419.65</v>
      </c>
      <c r="K160" s="14">
        <f t="shared" si="27"/>
        <v>3.4672405547584439E-3</v>
      </c>
      <c r="L160" s="134">
        <v>81.7</v>
      </c>
      <c r="M160" s="14">
        <f t="shared" si="28"/>
        <v>3.1565656565656575E-2</v>
      </c>
      <c r="N160" s="134">
        <v>88.78</v>
      </c>
      <c r="O160" s="14">
        <f t="shared" si="29"/>
        <v>3.0505027680487462E-3</v>
      </c>
    </row>
    <row r="161" spans="2:15" x14ac:dyDescent="0.35">
      <c r="B161" s="135" t="s">
        <v>262</v>
      </c>
      <c r="D161" s="58">
        <v>17758.45</v>
      </c>
      <c r="E161" s="14">
        <f t="shared" si="24"/>
        <v>1.1364607122313908E-2</v>
      </c>
      <c r="F161" s="134">
        <v>664.55</v>
      </c>
      <c r="G161" s="14">
        <f t="shared" si="25"/>
        <v>-3.6731634182909367E-3</v>
      </c>
      <c r="H161" s="134">
        <v>110.05</v>
      </c>
      <c r="I161" s="14">
        <f t="shared" si="26"/>
        <v>2.5151374010246919E-2</v>
      </c>
      <c r="J161" s="134">
        <v>403.95</v>
      </c>
      <c r="K161" s="14">
        <f t="shared" si="27"/>
        <v>-3.7412129155248386E-2</v>
      </c>
      <c r="L161" s="134">
        <v>81.75</v>
      </c>
      <c r="M161" s="14">
        <f t="shared" si="28"/>
        <v>6.1199510403908697E-4</v>
      </c>
      <c r="N161" s="134">
        <v>87.81</v>
      </c>
      <c r="O161" s="14">
        <f t="shared" si="29"/>
        <v>-1.092588420815499E-2</v>
      </c>
    </row>
    <row r="162" spans="2:15" x14ac:dyDescent="0.35">
      <c r="B162" s="135">
        <v>44750</v>
      </c>
      <c r="D162" s="58">
        <v>17698.150000000001</v>
      </c>
      <c r="E162" s="14">
        <f t="shared" si="24"/>
        <v>-3.3955666175820021E-3</v>
      </c>
      <c r="F162" s="134">
        <v>678.2</v>
      </c>
      <c r="G162" s="14">
        <f t="shared" si="25"/>
        <v>2.0540215183206811E-2</v>
      </c>
      <c r="H162" s="134">
        <v>112.65</v>
      </c>
      <c r="I162" s="14">
        <f t="shared" si="26"/>
        <v>2.362562471603824E-2</v>
      </c>
      <c r="J162" s="134">
        <v>404.35</v>
      </c>
      <c r="K162" s="14">
        <f t="shared" si="27"/>
        <v>9.902215620745114E-4</v>
      </c>
      <c r="L162" s="134">
        <v>81.599999999999994</v>
      </c>
      <c r="M162" s="14">
        <f t="shared" si="28"/>
        <v>-1.8348623853211565E-3</v>
      </c>
      <c r="N162" s="134">
        <v>86.69</v>
      </c>
      <c r="O162" s="14">
        <f t="shared" si="29"/>
        <v>-1.2754811524883336E-2</v>
      </c>
    </row>
    <row r="163" spans="2:15" x14ac:dyDescent="0.35">
      <c r="B163" s="135" t="s">
        <v>261</v>
      </c>
      <c r="D163" s="58">
        <v>17397.5</v>
      </c>
      <c r="E163" s="14">
        <f t="shared" si="24"/>
        <v>-1.6987651251684555E-2</v>
      </c>
      <c r="F163" s="134">
        <v>667.15</v>
      </c>
      <c r="G163" s="14">
        <f t="shared" si="25"/>
        <v>-1.6293128870539797E-2</v>
      </c>
      <c r="H163" s="134">
        <v>107.35</v>
      </c>
      <c r="I163" s="14">
        <f t="shared" si="26"/>
        <v>-4.7048379937860707E-2</v>
      </c>
      <c r="J163" s="134">
        <v>392.8</v>
      </c>
      <c r="K163" s="14">
        <f t="shared" si="27"/>
        <v>-2.8564362557190526E-2</v>
      </c>
      <c r="L163" s="134">
        <v>77.599999999999994</v>
      </c>
      <c r="M163" s="14">
        <f t="shared" si="28"/>
        <v>-4.9019607843137303E-2</v>
      </c>
      <c r="N163" s="134">
        <v>87.22</v>
      </c>
      <c r="O163" s="14">
        <f t="shared" si="29"/>
        <v>6.1137386088361279E-3</v>
      </c>
    </row>
    <row r="164" spans="2:15" x14ac:dyDescent="0.35">
      <c r="B164" s="135" t="s">
        <v>260</v>
      </c>
      <c r="D164" s="58">
        <v>17158.25</v>
      </c>
      <c r="E164" s="14">
        <f t="shared" si="24"/>
        <v>-1.3751975858600329E-2</v>
      </c>
      <c r="F164" s="134">
        <v>629.6</v>
      </c>
      <c r="G164" s="14">
        <f t="shared" si="25"/>
        <v>-5.6284193959379336E-2</v>
      </c>
      <c r="H164" s="134">
        <v>107.6</v>
      </c>
      <c r="I164" s="14">
        <f t="shared" si="26"/>
        <v>2.3288309268747476E-3</v>
      </c>
      <c r="J164" s="134">
        <v>389.05</v>
      </c>
      <c r="K164" s="14">
        <f t="shared" si="27"/>
        <v>-9.5468431771894569E-3</v>
      </c>
      <c r="L164" s="134">
        <v>77.150000000000006</v>
      </c>
      <c r="M164" s="14">
        <f t="shared" si="28"/>
        <v>-5.7989690721648168E-3</v>
      </c>
      <c r="N164" s="134">
        <v>95.08</v>
      </c>
      <c r="O164" s="14">
        <f t="shared" si="29"/>
        <v>9.0116945654666436E-2</v>
      </c>
    </row>
    <row r="165" spans="2:15" x14ac:dyDescent="0.35">
      <c r="B165" s="135" t="s">
        <v>259</v>
      </c>
      <c r="D165" s="58">
        <v>16719.45</v>
      </c>
      <c r="E165" s="14">
        <f t="shared" si="24"/>
        <v>-2.5573703611965093E-2</v>
      </c>
      <c r="F165" s="134">
        <v>582.45000000000005</v>
      </c>
      <c r="G165" s="14">
        <f t="shared" si="25"/>
        <v>-7.4888818297331627E-2</v>
      </c>
      <c r="H165" s="134">
        <v>93.61</v>
      </c>
      <c r="I165" s="14">
        <f t="shared" si="26"/>
        <v>-0.1300185873605948</v>
      </c>
      <c r="J165" s="134">
        <v>360.2</v>
      </c>
      <c r="K165" s="14">
        <f t="shared" si="27"/>
        <v>-7.4154992931499852E-2</v>
      </c>
      <c r="L165" s="134">
        <v>75.3</v>
      </c>
      <c r="M165" s="14">
        <f t="shared" si="28"/>
        <v>-2.3979261179520539E-2</v>
      </c>
      <c r="N165" s="134">
        <v>92.33</v>
      </c>
      <c r="O165" s="14">
        <f t="shared" si="29"/>
        <v>-2.8923012200252396E-2</v>
      </c>
    </row>
    <row r="166" spans="2:15" x14ac:dyDescent="0.35">
      <c r="B166" s="135">
        <v>44841</v>
      </c>
      <c r="D166" s="58">
        <v>16049.2</v>
      </c>
      <c r="E166" s="14">
        <f t="shared" si="24"/>
        <v>-4.0088041173603206E-2</v>
      </c>
      <c r="F166" s="134">
        <v>576.4</v>
      </c>
      <c r="G166" s="14">
        <f t="shared" si="25"/>
        <v>-1.0387157695939675E-2</v>
      </c>
      <c r="H166" s="134">
        <v>88.38</v>
      </c>
      <c r="I166" s="14">
        <f t="shared" si="26"/>
        <v>-5.5870099348360291E-2</v>
      </c>
      <c r="J166" s="134">
        <v>345.5</v>
      </c>
      <c r="K166" s="14">
        <f t="shared" si="27"/>
        <v>-4.0810660744031058E-2</v>
      </c>
      <c r="L166" s="134">
        <v>69.349999999999994</v>
      </c>
      <c r="M166" s="14">
        <f t="shared" si="28"/>
        <v>-7.901726427622846E-2</v>
      </c>
      <c r="N166" s="134">
        <v>86.75</v>
      </c>
      <c r="O166" s="14">
        <f t="shared" si="29"/>
        <v>-6.043539477959492E-2</v>
      </c>
    </row>
    <row r="167" spans="2:15" x14ac:dyDescent="0.35">
      <c r="B167" s="135">
        <v>44627</v>
      </c>
      <c r="D167" s="58">
        <v>16220.6</v>
      </c>
      <c r="E167" s="14">
        <f t="shared" si="24"/>
        <v>1.0679660045360473E-2</v>
      </c>
      <c r="F167" s="134">
        <v>566.20000000000005</v>
      </c>
      <c r="G167" s="14">
        <f t="shared" si="25"/>
        <v>-1.7696044413601508E-2</v>
      </c>
      <c r="H167" s="134">
        <v>88.59</v>
      </c>
      <c r="I167" s="14">
        <f t="shared" si="26"/>
        <v>2.3761031907671981E-3</v>
      </c>
      <c r="J167" s="134">
        <v>343.4</v>
      </c>
      <c r="K167" s="14">
        <f t="shared" si="27"/>
        <v>-6.0781476121564149E-3</v>
      </c>
      <c r="L167" s="134">
        <v>71.599999999999994</v>
      </c>
      <c r="M167" s="14">
        <f t="shared" si="28"/>
        <v>3.2444124008651709E-2</v>
      </c>
      <c r="N167" s="134">
        <v>87.46</v>
      </c>
      <c r="O167" s="14">
        <f t="shared" si="29"/>
        <v>8.1844380403457428E-3</v>
      </c>
    </row>
    <row r="168" spans="2:15" x14ac:dyDescent="0.35">
      <c r="B168" s="135" t="s">
        <v>258</v>
      </c>
      <c r="D168" s="58">
        <v>15752.05</v>
      </c>
      <c r="E168" s="14">
        <f t="shared" si="24"/>
        <v>-2.8886107788861137E-2</v>
      </c>
      <c r="F168" s="134">
        <v>578.85</v>
      </c>
      <c r="G168" s="14">
        <f t="shared" si="25"/>
        <v>2.2341928647121145E-2</v>
      </c>
      <c r="H168" s="134">
        <v>87.29</v>
      </c>
      <c r="I168" s="14">
        <f t="shared" si="26"/>
        <v>-1.4674342476577507E-2</v>
      </c>
      <c r="J168" s="134">
        <v>332.95</v>
      </c>
      <c r="K168" s="14">
        <f t="shared" si="27"/>
        <v>-3.0430984274898099E-2</v>
      </c>
      <c r="L168" s="134">
        <v>69.900000000000006</v>
      </c>
      <c r="M168" s="14">
        <f t="shared" si="28"/>
        <v>-2.3743016759776414E-2</v>
      </c>
      <c r="N168" s="134">
        <v>81.569999999999993</v>
      </c>
      <c r="O168" s="14">
        <f t="shared" si="29"/>
        <v>-6.7345072032929387E-2</v>
      </c>
    </row>
    <row r="169" spans="2:15" x14ac:dyDescent="0.35">
      <c r="B169" s="135" t="s">
        <v>257</v>
      </c>
      <c r="D169" s="58">
        <v>15699.25</v>
      </c>
      <c r="E169" s="14">
        <f t="shared" si="24"/>
        <v>-3.3519446675194242E-3</v>
      </c>
      <c r="F169" s="134">
        <v>567.79999999999995</v>
      </c>
      <c r="G169" s="14">
        <f t="shared" si="25"/>
        <v>-1.9089574155653599E-2</v>
      </c>
      <c r="H169" s="134">
        <v>85.29</v>
      </c>
      <c r="I169" s="14">
        <f t="shared" si="26"/>
        <v>-2.2912131973880201E-2</v>
      </c>
      <c r="J169" s="134">
        <v>317.60000000000002</v>
      </c>
      <c r="K169" s="14">
        <f t="shared" si="27"/>
        <v>-4.6103018471241874E-2</v>
      </c>
      <c r="L169" s="134">
        <v>68</v>
      </c>
      <c r="M169" s="14">
        <f t="shared" si="28"/>
        <v>-2.7181688125894166E-2</v>
      </c>
      <c r="N169" s="134">
        <v>79.739999999999995</v>
      </c>
      <c r="O169" s="14">
        <f t="shared" si="29"/>
        <v>-2.2434718646561214E-2</v>
      </c>
    </row>
    <row r="170" spans="2:15" x14ac:dyDescent="0.35">
      <c r="B170" s="135">
        <v>44901</v>
      </c>
      <c r="D170" s="58">
        <v>15293.5</v>
      </c>
      <c r="E170" s="14">
        <f t="shared" si="24"/>
        <v>-2.5845183687118856E-2</v>
      </c>
      <c r="F170" s="134">
        <v>554.6</v>
      </c>
      <c r="G170" s="14">
        <f t="shared" si="25"/>
        <v>-2.3247622402254198E-2</v>
      </c>
      <c r="H170" s="134">
        <v>90.67</v>
      </c>
      <c r="I170" s="14">
        <f t="shared" si="26"/>
        <v>6.3078907257591688E-2</v>
      </c>
      <c r="J170" s="134">
        <v>329.2</v>
      </c>
      <c r="K170" s="14">
        <f t="shared" si="27"/>
        <v>3.6523929471032668E-2</v>
      </c>
      <c r="L170" s="134">
        <v>68.45</v>
      </c>
      <c r="M170" s="14">
        <f t="shared" si="28"/>
        <v>6.6176470588235059E-3</v>
      </c>
      <c r="N170" s="134">
        <v>77.16</v>
      </c>
      <c r="O170" s="14">
        <f t="shared" si="29"/>
        <v>-3.2355154251316742E-2</v>
      </c>
    </row>
    <row r="171" spans="2:15" x14ac:dyDescent="0.35">
      <c r="B171" s="135">
        <v>44687</v>
      </c>
      <c r="D171" s="58">
        <v>16201.8</v>
      </c>
      <c r="E171" s="14">
        <f t="shared" si="24"/>
        <v>5.9391244646418428E-2</v>
      </c>
      <c r="F171" s="134">
        <v>572.5</v>
      </c>
      <c r="G171" s="14">
        <f t="shared" si="25"/>
        <v>3.2275513883880169E-2</v>
      </c>
      <c r="H171" s="134">
        <v>102.37</v>
      </c>
      <c r="I171" s="14">
        <f t="shared" si="26"/>
        <v>0.12903937355244288</v>
      </c>
      <c r="J171" s="134">
        <v>367.55</v>
      </c>
      <c r="K171" s="14">
        <f t="shared" si="27"/>
        <v>0.11649453219927097</v>
      </c>
      <c r="L171" s="134">
        <v>73.3</v>
      </c>
      <c r="M171" s="14">
        <f t="shared" si="28"/>
        <v>7.0854638422205962E-2</v>
      </c>
      <c r="N171" s="134">
        <v>88.19</v>
      </c>
      <c r="O171" s="14">
        <f t="shared" si="29"/>
        <v>0.14294971487817532</v>
      </c>
    </row>
    <row r="172" spans="2:15" x14ac:dyDescent="0.35">
      <c r="B172" s="135" t="s">
        <v>256</v>
      </c>
      <c r="D172" s="58">
        <v>16584.3</v>
      </c>
      <c r="E172" s="14">
        <f t="shared" si="24"/>
        <v>2.3608487945783851E-2</v>
      </c>
      <c r="F172" s="134">
        <v>562.45000000000005</v>
      </c>
      <c r="G172" s="14">
        <f t="shared" si="25"/>
        <v>-1.7554585152838365E-2</v>
      </c>
      <c r="H172" s="134">
        <v>106.73</v>
      </c>
      <c r="I172" s="14">
        <f t="shared" si="26"/>
        <v>4.2590602715639303E-2</v>
      </c>
      <c r="J172" s="134">
        <v>363.5</v>
      </c>
      <c r="K172" s="14">
        <f t="shared" si="27"/>
        <v>-1.1018908991973886E-2</v>
      </c>
      <c r="L172" s="134">
        <v>75.650000000000006</v>
      </c>
      <c r="M172" s="14">
        <f t="shared" si="28"/>
        <v>3.2060027285129689E-2</v>
      </c>
      <c r="N172" s="134">
        <v>87.83</v>
      </c>
      <c r="O172" s="14">
        <f t="shared" si="29"/>
        <v>-4.0820954756775052E-3</v>
      </c>
    </row>
    <row r="173" spans="2:15" x14ac:dyDescent="0.35">
      <c r="B173" s="135" t="s">
        <v>255</v>
      </c>
      <c r="D173" s="58">
        <v>16352.45</v>
      </c>
      <c r="E173" s="14">
        <f t="shared" si="24"/>
        <v>-1.3980089602817047E-2</v>
      </c>
      <c r="F173" s="134">
        <v>548.4</v>
      </c>
      <c r="G173" s="14">
        <f t="shared" si="25"/>
        <v>-2.4979998222064315E-2</v>
      </c>
      <c r="H173" s="134">
        <v>104.35</v>
      </c>
      <c r="I173" s="14">
        <f t="shared" si="26"/>
        <v>-2.2299259814485217E-2</v>
      </c>
      <c r="J173" s="134">
        <v>396.45</v>
      </c>
      <c r="K173" s="14">
        <f t="shared" si="27"/>
        <v>9.0646492434663051E-2</v>
      </c>
      <c r="L173" s="134">
        <v>74.2</v>
      </c>
      <c r="M173" s="14">
        <f t="shared" si="28"/>
        <v>-1.9167217448777252E-2</v>
      </c>
      <c r="N173" s="134">
        <v>88.22</v>
      </c>
      <c r="O173" s="14">
        <f t="shared" si="29"/>
        <v>4.4403962199703884E-3</v>
      </c>
    </row>
    <row r="174" spans="2:15" x14ac:dyDescent="0.35">
      <c r="B174" s="135" t="s">
        <v>254</v>
      </c>
      <c r="D174" s="58">
        <v>16266.15</v>
      </c>
      <c r="E174" s="14">
        <f t="shared" ref="E174:E193" si="30">D174/D173-1</f>
        <v>-5.2774966442338256E-3</v>
      </c>
      <c r="F174" s="134">
        <v>631.1</v>
      </c>
      <c r="G174" s="14">
        <f t="shared" ref="G174:G193" si="31">F174/F173-1</f>
        <v>0.15080233406272803</v>
      </c>
      <c r="H174" s="134">
        <v>117.06</v>
      </c>
      <c r="I174" s="14">
        <f t="shared" ref="I174:I193" si="32">H174/H173-1</f>
        <v>0.12180162913272641</v>
      </c>
      <c r="J174" s="134">
        <v>478.8</v>
      </c>
      <c r="K174" s="14">
        <f t="shared" ref="K174:K193" si="33">J174/J173-1</f>
        <v>0.20771850170261064</v>
      </c>
      <c r="L174" s="134">
        <v>83</v>
      </c>
      <c r="M174" s="14">
        <f t="shared" ref="M174:M193" si="34">L174/L173-1</f>
        <v>0.11859838274932599</v>
      </c>
      <c r="N174" s="134">
        <v>103.73</v>
      </c>
      <c r="O174" s="14">
        <f t="shared" ref="O174:O193" si="35">N174/N173-1</f>
        <v>0.17581047381546133</v>
      </c>
    </row>
    <row r="175" spans="2:15" x14ac:dyDescent="0.35">
      <c r="B175" s="135">
        <v>44778</v>
      </c>
      <c r="D175" s="58">
        <v>15782.15</v>
      </c>
      <c r="E175" s="14">
        <f t="shared" si="30"/>
        <v>-2.975504344912594E-2</v>
      </c>
      <c r="F175" s="134">
        <v>600.45000000000005</v>
      </c>
      <c r="G175" s="14">
        <f t="shared" si="31"/>
        <v>-4.8565995880209156E-2</v>
      </c>
      <c r="H175" s="134">
        <v>109.7</v>
      </c>
      <c r="I175" s="14">
        <f t="shared" si="32"/>
        <v>-6.2873739962412412E-2</v>
      </c>
      <c r="J175" s="134">
        <v>453.55</v>
      </c>
      <c r="K175" s="14">
        <f t="shared" si="33"/>
        <v>-5.2736006683375081E-2</v>
      </c>
      <c r="L175" s="134">
        <v>79.650000000000006</v>
      </c>
      <c r="M175" s="14">
        <f t="shared" si="34"/>
        <v>-4.0361445783132499E-2</v>
      </c>
      <c r="N175" s="134">
        <v>95.7</v>
      </c>
      <c r="O175" s="14">
        <f t="shared" si="35"/>
        <v>-7.7412513255567306E-2</v>
      </c>
    </row>
    <row r="176" spans="2:15" x14ac:dyDescent="0.35">
      <c r="B176" s="135">
        <v>44566</v>
      </c>
      <c r="D176" s="58">
        <v>16411.25</v>
      </c>
      <c r="E176" s="14">
        <f t="shared" si="30"/>
        <v>3.9861489087354984E-2</v>
      </c>
      <c r="F176" s="134">
        <v>690.4</v>
      </c>
      <c r="G176" s="14">
        <f t="shared" si="31"/>
        <v>0.14980431343159295</v>
      </c>
      <c r="H176" s="134">
        <v>128.37</v>
      </c>
      <c r="I176" s="14">
        <f t="shared" si="32"/>
        <v>0.17019143117593427</v>
      </c>
      <c r="J176" s="134">
        <v>503.8</v>
      </c>
      <c r="K176" s="14">
        <f t="shared" si="33"/>
        <v>0.11079263587256083</v>
      </c>
      <c r="L176" s="134">
        <v>89.9</v>
      </c>
      <c r="M176" s="14">
        <f t="shared" si="34"/>
        <v>0.12868801004394226</v>
      </c>
      <c r="N176" s="134">
        <v>116.34</v>
      </c>
      <c r="O176" s="14">
        <f t="shared" si="35"/>
        <v>0.2156739811912225</v>
      </c>
    </row>
    <row r="177" spans="2:15" x14ac:dyDescent="0.35">
      <c r="B177" s="135" t="s">
        <v>253</v>
      </c>
      <c r="D177" s="58">
        <v>17102.55</v>
      </c>
      <c r="E177" s="14">
        <f t="shared" si="30"/>
        <v>4.2123543301089139E-2</v>
      </c>
      <c r="F177" s="134">
        <v>727.15</v>
      </c>
      <c r="G177" s="14">
        <f t="shared" si="31"/>
        <v>5.3230011587485526E-2</v>
      </c>
      <c r="H177" s="134">
        <v>127.11</v>
      </c>
      <c r="I177" s="14">
        <f t="shared" si="32"/>
        <v>-9.8153774246320102E-3</v>
      </c>
      <c r="J177" s="134">
        <v>540.04999999999995</v>
      </c>
      <c r="K177" s="14">
        <f t="shared" si="33"/>
        <v>7.1953156014291197E-2</v>
      </c>
      <c r="L177" s="134">
        <v>96.75</v>
      </c>
      <c r="M177" s="14">
        <f t="shared" si="34"/>
        <v>7.619577308120129E-2</v>
      </c>
      <c r="N177" s="134">
        <v>120.16</v>
      </c>
      <c r="O177" s="14">
        <f t="shared" si="35"/>
        <v>3.2834794567646597E-2</v>
      </c>
    </row>
    <row r="178" spans="2:15" x14ac:dyDescent="0.35">
      <c r="B178" s="135" t="s">
        <v>252</v>
      </c>
      <c r="D178" s="58">
        <v>17171.95</v>
      </c>
      <c r="E178" s="14">
        <f t="shared" si="30"/>
        <v>4.0578744105412845E-3</v>
      </c>
      <c r="F178" s="134">
        <v>723.4</v>
      </c>
      <c r="G178" s="14">
        <f t="shared" si="31"/>
        <v>-5.157120264044579E-3</v>
      </c>
      <c r="H178" s="134">
        <v>127.75</v>
      </c>
      <c r="I178" s="14">
        <f t="shared" si="32"/>
        <v>5.0350090472819353E-3</v>
      </c>
      <c r="J178" s="134">
        <v>537.85</v>
      </c>
      <c r="K178" s="14">
        <f t="shared" si="33"/>
        <v>-4.0736968799184314E-3</v>
      </c>
      <c r="L178" s="134">
        <v>101.4</v>
      </c>
      <c r="M178" s="14">
        <f t="shared" si="34"/>
        <v>4.806201550387601E-2</v>
      </c>
      <c r="N178" s="134">
        <v>130.6</v>
      </c>
      <c r="O178" s="14">
        <f t="shared" si="35"/>
        <v>8.6884154460719065E-2</v>
      </c>
    </row>
    <row r="179" spans="2:15" x14ac:dyDescent="0.35">
      <c r="B179" s="135">
        <v>44838</v>
      </c>
      <c r="D179" s="58">
        <v>17475.650000000001</v>
      </c>
      <c r="E179" s="14">
        <f t="shared" si="30"/>
        <v>1.7685819024630289E-2</v>
      </c>
      <c r="F179" s="134">
        <v>766.35</v>
      </c>
      <c r="G179" s="14">
        <f t="shared" si="31"/>
        <v>5.9372408072988714E-2</v>
      </c>
      <c r="H179" s="134">
        <v>131.94999999999999</v>
      </c>
      <c r="I179" s="14">
        <f t="shared" si="32"/>
        <v>3.2876712328766988E-2</v>
      </c>
      <c r="J179" s="134">
        <v>552.4</v>
      </c>
      <c r="K179" s="14">
        <f t="shared" si="33"/>
        <v>2.7052152087013059E-2</v>
      </c>
      <c r="L179" s="134">
        <v>106.5</v>
      </c>
      <c r="M179" s="14">
        <f t="shared" si="34"/>
        <v>5.0295857988165604E-2</v>
      </c>
      <c r="N179" s="134">
        <v>125.46</v>
      </c>
      <c r="O179" s="14">
        <f t="shared" si="35"/>
        <v>-3.9356814701378307E-2</v>
      </c>
    </row>
    <row r="180" spans="2:15" x14ac:dyDescent="0.35">
      <c r="B180" s="135">
        <v>44624</v>
      </c>
      <c r="D180" s="58">
        <v>17784.349999999999</v>
      </c>
      <c r="E180" s="14">
        <f t="shared" si="30"/>
        <v>1.7664578999922576E-2</v>
      </c>
      <c r="F180" s="134">
        <v>756.6</v>
      </c>
      <c r="G180" s="14">
        <f t="shared" si="31"/>
        <v>-1.2722646310432517E-2</v>
      </c>
      <c r="H180" s="134">
        <v>137.07</v>
      </c>
      <c r="I180" s="14">
        <f t="shared" si="32"/>
        <v>3.8802576733611316E-2</v>
      </c>
      <c r="J180" s="134">
        <v>562.79999999999995</v>
      </c>
      <c r="K180" s="14">
        <f t="shared" si="33"/>
        <v>1.8826937002172306E-2</v>
      </c>
      <c r="L180" s="134">
        <v>110.9</v>
      </c>
      <c r="M180" s="14">
        <f t="shared" si="34"/>
        <v>4.1314553990610348E-2</v>
      </c>
      <c r="N180" s="134">
        <v>114.3</v>
      </c>
      <c r="O180" s="14">
        <f t="shared" si="35"/>
        <v>-8.8952654232424599E-2</v>
      </c>
    </row>
    <row r="181" spans="2:15" x14ac:dyDescent="0.35">
      <c r="B181" s="135" t="s">
        <v>251</v>
      </c>
      <c r="D181" s="58">
        <v>17670.45</v>
      </c>
      <c r="E181" s="14">
        <f t="shared" si="30"/>
        <v>-6.4045073336949088E-3</v>
      </c>
      <c r="F181" s="134">
        <v>732.2</v>
      </c>
      <c r="G181" s="14">
        <f t="shared" si="31"/>
        <v>-3.2249537404176576E-2</v>
      </c>
      <c r="H181" s="134">
        <v>131.71</v>
      </c>
      <c r="I181" s="14">
        <f t="shared" si="32"/>
        <v>-3.9104107390384391E-2</v>
      </c>
      <c r="J181" s="134">
        <v>530.85</v>
      </c>
      <c r="K181" s="14">
        <f t="shared" si="33"/>
        <v>-5.6769722814498769E-2</v>
      </c>
      <c r="L181" s="134">
        <v>102.15</v>
      </c>
      <c r="M181" s="14">
        <f t="shared" si="34"/>
        <v>-7.8899909828674453E-2</v>
      </c>
      <c r="N181" s="134">
        <v>113.09</v>
      </c>
      <c r="O181" s="14">
        <f t="shared" si="35"/>
        <v>-1.0586176727908958E-2</v>
      </c>
    </row>
    <row r="182" spans="2:15" x14ac:dyDescent="0.35">
      <c r="B182" s="135" t="s">
        <v>250</v>
      </c>
      <c r="D182" s="58">
        <v>17153</v>
      </c>
      <c r="E182" s="14">
        <f t="shared" si="30"/>
        <v>-2.928335158414197E-2</v>
      </c>
      <c r="F182" s="134">
        <v>721.35</v>
      </c>
      <c r="G182" s="14">
        <f t="shared" si="31"/>
        <v>-1.4818355640535352E-2</v>
      </c>
      <c r="H182" s="134">
        <v>133.9</v>
      </c>
      <c r="I182" s="14">
        <f t="shared" si="32"/>
        <v>1.6627439070685535E-2</v>
      </c>
      <c r="J182" s="134">
        <v>529.65</v>
      </c>
      <c r="K182" s="14">
        <f t="shared" si="33"/>
        <v>-2.2605255721955819E-3</v>
      </c>
      <c r="L182" s="134">
        <v>103.1</v>
      </c>
      <c r="M182" s="14">
        <f t="shared" si="34"/>
        <v>9.3000489476260384E-3</v>
      </c>
      <c r="N182" s="134">
        <v>114.27</v>
      </c>
      <c r="O182" s="14">
        <f t="shared" si="35"/>
        <v>1.0434167477230361E-2</v>
      </c>
    </row>
    <row r="183" spans="2:15" x14ac:dyDescent="0.35">
      <c r="B183" s="135" t="s">
        <v>249</v>
      </c>
      <c r="D183" s="58">
        <v>17287.05</v>
      </c>
      <c r="E183" s="14">
        <f t="shared" si="30"/>
        <v>7.8149594823062607E-3</v>
      </c>
      <c r="F183" s="134">
        <v>685.1</v>
      </c>
      <c r="G183" s="14">
        <f t="shared" si="31"/>
        <v>-5.0252997851251147E-2</v>
      </c>
      <c r="H183" s="134">
        <v>130.35</v>
      </c>
      <c r="I183" s="14">
        <f t="shared" si="32"/>
        <v>-2.6512322628827523E-2</v>
      </c>
      <c r="J183" s="134">
        <v>477.15</v>
      </c>
      <c r="K183" s="14">
        <f t="shared" si="33"/>
        <v>-9.912206173888416E-2</v>
      </c>
      <c r="L183" s="134">
        <v>98.1</v>
      </c>
      <c r="M183" s="14">
        <f t="shared" si="34"/>
        <v>-4.8496605237633328E-2</v>
      </c>
      <c r="N183" s="134">
        <v>108.13</v>
      </c>
      <c r="O183" s="14">
        <f t="shared" si="35"/>
        <v>-5.3732388203378001E-2</v>
      </c>
    </row>
    <row r="184" spans="2:15" x14ac:dyDescent="0.35">
      <c r="B184" s="135">
        <v>44715</v>
      </c>
      <c r="D184" s="58">
        <v>16630.45</v>
      </c>
      <c r="E184" s="14">
        <f t="shared" si="30"/>
        <v>-3.7982188979611808E-2</v>
      </c>
      <c r="F184" s="134">
        <v>669.75</v>
      </c>
      <c r="G184" s="14">
        <f t="shared" si="31"/>
        <v>-2.2405488249890526E-2</v>
      </c>
      <c r="H184" s="134">
        <v>130.16999999999999</v>
      </c>
      <c r="I184" s="14">
        <f t="shared" si="32"/>
        <v>-1.3808975834292969E-3</v>
      </c>
      <c r="J184" s="134">
        <v>479.25</v>
      </c>
      <c r="K184" s="14">
        <f t="shared" si="33"/>
        <v>4.4011317195851163E-3</v>
      </c>
      <c r="L184" s="134">
        <v>99.65</v>
      </c>
      <c r="M184" s="14">
        <f t="shared" si="34"/>
        <v>1.5800203873598484E-2</v>
      </c>
      <c r="N184" s="134">
        <v>107.43</v>
      </c>
      <c r="O184" s="14">
        <f t="shared" si="35"/>
        <v>-6.4736890779616418E-3</v>
      </c>
    </row>
    <row r="185" spans="2:15" x14ac:dyDescent="0.35">
      <c r="B185" s="135" t="s">
        <v>248</v>
      </c>
      <c r="D185" s="58">
        <v>16245.35</v>
      </c>
      <c r="E185" s="14">
        <f t="shared" si="30"/>
        <v>-2.3156318680492727E-2</v>
      </c>
      <c r="F185" s="134">
        <v>631.95000000000005</v>
      </c>
      <c r="G185" s="14">
        <f t="shared" si="31"/>
        <v>-5.6438969764837532E-2</v>
      </c>
      <c r="H185" s="134">
        <v>127.71</v>
      </c>
      <c r="I185" s="14">
        <f t="shared" si="32"/>
        <v>-1.8898363678266805E-2</v>
      </c>
      <c r="J185" s="134">
        <v>435.75</v>
      </c>
      <c r="K185" s="14">
        <f t="shared" si="33"/>
        <v>-9.0766823161189336E-2</v>
      </c>
      <c r="L185" s="134">
        <v>97.55</v>
      </c>
      <c r="M185" s="14">
        <f t="shared" si="34"/>
        <v>-2.1073758153537514E-2</v>
      </c>
      <c r="N185" s="134">
        <v>91</v>
      </c>
      <c r="O185" s="14">
        <f t="shared" si="35"/>
        <v>-0.15293679605324406</v>
      </c>
    </row>
    <row r="186" spans="2:15" x14ac:dyDescent="0.35">
      <c r="B186" s="135" t="s">
        <v>247</v>
      </c>
      <c r="D186" s="58">
        <v>16658.400000000001</v>
      </c>
      <c r="E186" s="14">
        <f t="shared" si="30"/>
        <v>2.5425737210955868E-2</v>
      </c>
      <c r="F186" s="134">
        <v>598.6</v>
      </c>
      <c r="G186" s="14">
        <f t="shared" si="31"/>
        <v>-5.2773162433736864E-2</v>
      </c>
      <c r="H186" s="134">
        <v>114.54</v>
      </c>
      <c r="I186" s="14">
        <f t="shared" si="32"/>
        <v>-0.10312426591496349</v>
      </c>
      <c r="J186" s="134">
        <v>399.75</v>
      </c>
      <c r="K186" s="14">
        <f t="shared" si="33"/>
        <v>-8.2616179001721135E-2</v>
      </c>
      <c r="L186" s="134">
        <v>91.6</v>
      </c>
      <c r="M186" s="14">
        <f t="shared" si="34"/>
        <v>-6.0994361865709945E-2</v>
      </c>
      <c r="N186" s="134">
        <v>80.37</v>
      </c>
      <c r="O186" s="14">
        <f t="shared" si="35"/>
        <v>-0.11681318681318675</v>
      </c>
    </row>
    <row r="187" spans="2:15" x14ac:dyDescent="0.35">
      <c r="B187" s="135" t="s">
        <v>246</v>
      </c>
      <c r="D187" s="58">
        <v>17276.3</v>
      </c>
      <c r="E187" s="14">
        <f t="shared" si="30"/>
        <v>3.7092397829323165E-2</v>
      </c>
      <c r="F187" s="134">
        <v>632.85</v>
      </c>
      <c r="G187" s="14">
        <f t="shared" si="31"/>
        <v>5.7216839291680532E-2</v>
      </c>
      <c r="H187" s="134">
        <v>119.08</v>
      </c>
      <c r="I187" s="14">
        <f t="shared" si="32"/>
        <v>3.963680810197312E-2</v>
      </c>
      <c r="J187" s="134">
        <v>413.15</v>
      </c>
      <c r="K187" s="14">
        <f t="shared" si="33"/>
        <v>3.352095059412119E-2</v>
      </c>
      <c r="L187" s="134">
        <v>96.85</v>
      </c>
      <c r="M187" s="14">
        <f t="shared" si="34"/>
        <v>5.7314410480349354E-2</v>
      </c>
      <c r="N187" s="134">
        <v>80.84</v>
      </c>
      <c r="O187" s="14">
        <f t="shared" si="35"/>
        <v>5.8479532163742132E-3</v>
      </c>
    </row>
    <row r="188" spans="2:15" x14ac:dyDescent="0.35">
      <c r="B188" s="135">
        <v>44714</v>
      </c>
      <c r="D188" s="58">
        <v>17374.75</v>
      </c>
      <c r="E188" s="14">
        <f t="shared" si="30"/>
        <v>5.6985581403425911E-3</v>
      </c>
      <c r="F188" s="134">
        <v>671.4</v>
      </c>
      <c r="G188" s="14">
        <f t="shared" si="31"/>
        <v>6.0914908746148244E-2</v>
      </c>
      <c r="H188" s="134">
        <v>125.44</v>
      </c>
      <c r="I188" s="14">
        <f t="shared" si="32"/>
        <v>5.3409472623446419E-2</v>
      </c>
      <c r="J188" s="134">
        <v>436.4</v>
      </c>
      <c r="K188" s="14">
        <f t="shared" si="33"/>
        <v>5.6274960668038165E-2</v>
      </c>
      <c r="L188" s="134">
        <v>101.75</v>
      </c>
      <c r="M188" s="14">
        <f t="shared" si="34"/>
        <v>5.0593701600412988E-2</v>
      </c>
      <c r="N188" s="134">
        <v>86.26</v>
      </c>
      <c r="O188" s="14">
        <f t="shared" si="35"/>
        <v>6.704601682335487E-2</v>
      </c>
    </row>
    <row r="189" spans="2:15" x14ac:dyDescent="0.35">
      <c r="B189" s="135" t="s">
        <v>245</v>
      </c>
      <c r="D189" s="58">
        <v>17516.3</v>
      </c>
      <c r="E189" s="14">
        <f t="shared" si="30"/>
        <v>8.1468798112203089E-3</v>
      </c>
      <c r="F189" s="134">
        <v>657.35</v>
      </c>
      <c r="G189" s="14">
        <f t="shared" si="31"/>
        <v>-2.0926422400953215E-2</v>
      </c>
      <c r="H189" s="134">
        <v>117.63</v>
      </c>
      <c r="I189" s="14">
        <f t="shared" si="32"/>
        <v>-6.2260841836734748E-2</v>
      </c>
      <c r="J189" s="134">
        <v>424.4</v>
      </c>
      <c r="K189" s="14">
        <f t="shared" si="33"/>
        <v>-2.7497708524289677E-2</v>
      </c>
      <c r="L189" s="134">
        <v>105.1</v>
      </c>
      <c r="M189" s="14">
        <f t="shared" si="34"/>
        <v>3.292383292383283E-2</v>
      </c>
      <c r="N189" s="134">
        <v>94.08</v>
      </c>
      <c r="O189" s="14">
        <f t="shared" si="35"/>
        <v>9.065615580802211E-2</v>
      </c>
    </row>
    <row r="190" spans="2:15" x14ac:dyDescent="0.35">
      <c r="B190" s="135" t="s">
        <v>244</v>
      </c>
      <c r="D190" s="58">
        <v>17101.95</v>
      </c>
      <c r="E190" s="14">
        <f t="shared" si="30"/>
        <v>-2.3655109812003583E-2</v>
      </c>
      <c r="F190" s="134">
        <v>628.04999999999995</v>
      </c>
      <c r="G190" s="14">
        <f t="shared" si="31"/>
        <v>-4.4572906366471488E-2</v>
      </c>
      <c r="H190" s="134">
        <v>108.46</v>
      </c>
      <c r="I190" s="14">
        <f t="shared" si="32"/>
        <v>-7.7956303664031279E-2</v>
      </c>
      <c r="J190" s="134">
        <v>382.6</v>
      </c>
      <c r="K190" s="14">
        <f t="shared" si="33"/>
        <v>-9.8491988689915044E-2</v>
      </c>
      <c r="L190" s="134">
        <v>97.45</v>
      </c>
      <c r="M190" s="14">
        <f t="shared" si="34"/>
        <v>-7.2787821122740182E-2</v>
      </c>
      <c r="N190" s="134">
        <v>81.94</v>
      </c>
      <c r="O190" s="14">
        <f t="shared" si="35"/>
        <v>-0.12903911564625847</v>
      </c>
    </row>
    <row r="191" spans="2:15" x14ac:dyDescent="0.35">
      <c r="B191" s="135" t="s">
        <v>243</v>
      </c>
      <c r="D191" s="58">
        <v>17617.150000000001</v>
      </c>
      <c r="E191" s="14">
        <f t="shared" si="30"/>
        <v>3.0125219638696299E-2</v>
      </c>
      <c r="F191" s="134">
        <v>666.25</v>
      </c>
      <c r="G191" s="14">
        <f t="shared" si="31"/>
        <v>6.082318286760624E-2</v>
      </c>
      <c r="H191" s="134">
        <v>116.97</v>
      </c>
      <c r="I191" s="14">
        <f t="shared" si="32"/>
        <v>7.8462105845473085E-2</v>
      </c>
      <c r="J191" s="134">
        <v>405.15</v>
      </c>
      <c r="K191" s="14">
        <f t="shared" si="33"/>
        <v>5.8938839519079966E-2</v>
      </c>
      <c r="L191" s="134">
        <v>102.55</v>
      </c>
      <c r="M191" s="14">
        <f t="shared" si="34"/>
        <v>5.2334530528476142E-2</v>
      </c>
      <c r="N191" s="134">
        <v>83.3</v>
      </c>
      <c r="O191" s="14">
        <f t="shared" si="35"/>
        <v>1.6597510373443924E-2</v>
      </c>
    </row>
    <row r="192" spans="2:15" x14ac:dyDescent="0.35">
      <c r="B192" s="135">
        <v>44805</v>
      </c>
      <c r="D192" s="58">
        <v>18255.75</v>
      </c>
      <c r="E192" s="14">
        <f t="shared" si="30"/>
        <v>3.6248768955250865E-2</v>
      </c>
      <c r="F192" s="134">
        <v>682.7</v>
      </c>
      <c r="G192" s="14">
        <f t="shared" si="31"/>
        <v>2.4690431519699851E-2</v>
      </c>
      <c r="H192" s="134">
        <v>121.36</v>
      </c>
      <c r="I192" s="14">
        <f t="shared" si="32"/>
        <v>3.7530990852355339E-2</v>
      </c>
      <c r="J192" s="134">
        <v>418.65</v>
      </c>
      <c r="K192" s="14">
        <f t="shared" si="33"/>
        <v>3.3320992225101875E-2</v>
      </c>
      <c r="L192" s="134">
        <v>108.2</v>
      </c>
      <c r="M192" s="14">
        <f t="shared" si="34"/>
        <v>5.5095075572891394E-2</v>
      </c>
      <c r="N192" s="134">
        <v>84.65</v>
      </c>
      <c r="O192" s="14">
        <f t="shared" si="35"/>
        <v>1.6206482593037252E-2</v>
      </c>
    </row>
    <row r="193" spans="2:15" x14ac:dyDescent="0.35">
      <c r="B193" s="133">
        <v>44593</v>
      </c>
      <c r="C193" s="126"/>
      <c r="D193" s="132">
        <v>17812.7</v>
      </c>
      <c r="E193" s="131">
        <f t="shared" si="30"/>
        <v>-2.4269065910740406E-2</v>
      </c>
      <c r="F193" s="130">
        <v>672.85</v>
      </c>
      <c r="G193" s="131">
        <f t="shared" si="31"/>
        <v>-1.4428006444997865E-2</v>
      </c>
      <c r="H193" s="130">
        <v>116.04</v>
      </c>
      <c r="I193" s="131">
        <f t="shared" si="32"/>
        <v>-4.3836519446275535E-2</v>
      </c>
      <c r="J193" s="130">
        <v>406.6</v>
      </c>
      <c r="K193" s="131">
        <f t="shared" si="33"/>
        <v>-2.8782992953541031E-2</v>
      </c>
      <c r="L193" s="130">
        <v>112</v>
      </c>
      <c r="M193" s="131">
        <f t="shared" si="34"/>
        <v>3.512014787430684E-2</v>
      </c>
      <c r="N193" s="130">
        <v>77.12</v>
      </c>
      <c r="O193" s="129">
        <f t="shared" si="35"/>
        <v>-8.8954518606024768E-2</v>
      </c>
    </row>
    <row r="194" spans="2:15" x14ac:dyDescent="0.35">
      <c r="F194" s="5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2"/>
  <sheetViews>
    <sheetView workbookViewId="0">
      <selection activeCell="C9" sqref="C9"/>
    </sheetView>
  </sheetViews>
  <sheetFormatPr defaultRowHeight="14.5" x14ac:dyDescent="0.35"/>
  <cols>
    <col min="1" max="1" width="8.7265625" style="8"/>
    <col min="2" max="2" width="31.08984375" style="8" bestFit="1" customWidth="1"/>
    <col min="3" max="16384" width="8.7265625" style="8"/>
  </cols>
  <sheetData>
    <row r="1" spans="2:3" ht="18.5" x14ac:dyDescent="0.45">
      <c r="B1" s="147" t="s">
        <v>371</v>
      </c>
    </row>
    <row r="3" spans="2:3" x14ac:dyDescent="0.35">
      <c r="B3" s="11" t="s">
        <v>370</v>
      </c>
    </row>
    <row r="4" spans="2:3" x14ac:dyDescent="0.35">
      <c r="B4" s="8" t="s">
        <v>369</v>
      </c>
      <c r="C4" s="146">
        <v>6.1879999999999998E-2</v>
      </c>
    </row>
    <row r="5" spans="2:3" x14ac:dyDescent="0.35">
      <c r="B5" s="8" t="s">
        <v>368</v>
      </c>
      <c r="C5" s="117">
        <v>2.18E-2</v>
      </c>
    </row>
    <row r="6" spans="2:3" x14ac:dyDescent="0.35">
      <c r="B6" s="8" t="s">
        <v>367</v>
      </c>
      <c r="C6" s="117">
        <v>4.3299999999999998E-2</v>
      </c>
    </row>
    <row r="7" spans="2:3" x14ac:dyDescent="0.35">
      <c r="B7" s="8" t="s">
        <v>366</v>
      </c>
      <c r="C7" s="117">
        <v>7.2599999999999998E-2</v>
      </c>
    </row>
    <row r="8" spans="2:3" x14ac:dyDescent="0.35">
      <c r="C8" s="119"/>
    </row>
    <row r="9" spans="2:3" x14ac:dyDescent="0.35">
      <c r="B9" s="11" t="s">
        <v>365</v>
      </c>
      <c r="C9" s="119"/>
    </row>
    <row r="10" spans="2:3" x14ac:dyDescent="0.35">
      <c r="B10" s="8" t="s">
        <v>364</v>
      </c>
      <c r="C10" s="117">
        <f>C4-C5</f>
        <v>4.0079999999999998E-2</v>
      </c>
    </row>
    <row r="11" spans="2:3" x14ac:dyDescent="0.35">
      <c r="B11" s="8" t="s">
        <v>363</v>
      </c>
      <c r="C11" s="117">
        <v>2.93E-2</v>
      </c>
    </row>
    <row r="12" spans="2:3" x14ac:dyDescent="0.35">
      <c r="B12" s="8" t="s">
        <v>362</v>
      </c>
      <c r="C12" s="117">
        <v>6.0000000000000001E-3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A2" sqref="A2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3"/>
  <sheetViews>
    <sheetView zoomScale="120" zoomScaleNormal="120" zoomScalePageLayoutView="120" workbookViewId="0">
      <pane xSplit="1" ySplit="1" topLeftCell="B16" activePane="bottomRight" state="frozen"/>
      <selection activeCell="C4" sqref="C4"/>
      <selection pane="topRight" activeCell="C4" sqref="C4"/>
      <selection pane="bottomLeft" activeCell="C4" sqref="C4"/>
      <selection pane="bottomRight" activeCell="B25" sqref="B25"/>
    </sheetView>
  </sheetViews>
  <sheetFormatPr defaultColWidth="8.81640625" defaultRowHeight="14.5" x14ac:dyDescent="0.35"/>
  <cols>
    <col min="1" max="1" width="27.6328125" style="2" bestFit="1" customWidth="1"/>
    <col min="2" max="11" width="13.453125" style="2" bestFit="1" customWidth="1"/>
    <col min="12" max="16384" width="8.81640625" style="2"/>
  </cols>
  <sheetData>
    <row r="1" spans="1:11" s="1" customFormat="1" x14ac:dyDescent="0.35">
      <c r="A1" s="1" t="s">
        <v>0</v>
      </c>
      <c r="B1" s="1" t="s">
        <v>1</v>
      </c>
      <c r="E1" s="210" t="str">
        <f>IF(B2&lt;&gt;B3, "A NEW VERSION OF THE WORKSHEET IS AVAILABLE", "")</f>
        <v/>
      </c>
      <c r="F1" s="210"/>
      <c r="G1" s="210"/>
      <c r="H1" s="210"/>
      <c r="I1" s="210"/>
      <c r="J1" s="210"/>
      <c r="K1" s="210"/>
    </row>
    <row r="2" spans="1:11" x14ac:dyDescent="0.35">
      <c r="A2" s="1" t="s">
        <v>2</v>
      </c>
      <c r="B2" s="2">
        <v>2.1</v>
      </c>
      <c r="E2" s="211" t="s">
        <v>3</v>
      </c>
      <c r="F2" s="211"/>
      <c r="G2" s="211"/>
      <c r="H2" s="211"/>
      <c r="I2" s="211"/>
      <c r="J2" s="211"/>
      <c r="K2" s="211"/>
    </row>
    <row r="3" spans="1:11" x14ac:dyDescent="0.35">
      <c r="A3" s="1" t="s">
        <v>4</v>
      </c>
      <c r="B3" s="2">
        <v>2.1</v>
      </c>
    </row>
    <row r="4" spans="1:11" x14ac:dyDescent="0.35">
      <c r="A4" s="1"/>
    </row>
    <row r="5" spans="1:11" x14ac:dyDescent="0.35">
      <c r="A5" s="1" t="s">
        <v>5</v>
      </c>
    </row>
    <row r="6" spans="1:11" x14ac:dyDescent="0.35">
      <c r="A6" s="2" t="s">
        <v>6</v>
      </c>
      <c r="B6" s="2">
        <f>IF(B9&gt;0, B9/B8, 0)</f>
        <v>244.69175851454671</v>
      </c>
    </row>
    <row r="7" spans="1:11" x14ac:dyDescent="0.35">
      <c r="A7" s="2" t="s">
        <v>7</v>
      </c>
      <c r="B7">
        <v>1</v>
      </c>
    </row>
    <row r="8" spans="1:11" x14ac:dyDescent="0.35">
      <c r="A8" s="2" t="s">
        <v>8</v>
      </c>
      <c r="B8">
        <v>1007.1</v>
      </c>
    </row>
    <row r="9" spans="1:11" x14ac:dyDescent="0.35">
      <c r="A9" s="2" t="s">
        <v>9</v>
      </c>
      <c r="B9">
        <v>246429.07</v>
      </c>
    </row>
    <row r="15" spans="1:11" x14ac:dyDescent="0.35">
      <c r="A15" s="1" t="s">
        <v>10</v>
      </c>
    </row>
    <row r="16" spans="1:11" s="5" customFormat="1" x14ac:dyDescent="0.35">
      <c r="A16" s="3" t="s">
        <v>11</v>
      </c>
      <c r="B16" s="4">
        <v>42460</v>
      </c>
      <c r="C16" s="4">
        <v>42825</v>
      </c>
      <c r="D16" s="4">
        <v>43190</v>
      </c>
      <c r="E16" s="4">
        <v>43555</v>
      </c>
      <c r="F16" s="4">
        <v>43921</v>
      </c>
      <c r="G16" s="4">
        <v>44286</v>
      </c>
      <c r="H16" s="4">
        <v>44651</v>
      </c>
      <c r="I16" s="4">
        <v>45016</v>
      </c>
      <c r="J16" s="4">
        <v>45382</v>
      </c>
      <c r="K16" s="4">
        <v>45747</v>
      </c>
    </row>
    <row r="17" spans="1:11" s="6" customFormat="1" x14ac:dyDescent="0.35">
      <c r="A17" s="6" t="s">
        <v>12</v>
      </c>
      <c r="B17">
        <v>41546.17</v>
      </c>
      <c r="C17">
        <v>55604</v>
      </c>
      <c r="D17">
        <v>71933</v>
      </c>
      <c r="E17">
        <v>84757</v>
      </c>
      <c r="F17">
        <v>73326</v>
      </c>
      <c r="G17">
        <v>79839</v>
      </c>
      <c r="H17">
        <v>146371</v>
      </c>
      <c r="I17">
        <v>165960</v>
      </c>
      <c r="J17">
        <v>175006</v>
      </c>
      <c r="K17">
        <v>168824</v>
      </c>
    </row>
    <row r="18" spans="1:11" s="6" customFormat="1" x14ac:dyDescent="0.35">
      <c r="A18" s="2" t="s">
        <v>13</v>
      </c>
      <c r="B18">
        <v>21181.02</v>
      </c>
      <c r="C18">
        <v>29749</v>
      </c>
      <c r="D18">
        <v>38781</v>
      </c>
      <c r="E18">
        <v>43796</v>
      </c>
      <c r="F18">
        <v>39000</v>
      </c>
      <c r="G18">
        <v>32856</v>
      </c>
      <c r="H18">
        <v>62871</v>
      </c>
      <c r="I18">
        <v>95970</v>
      </c>
      <c r="J18">
        <v>94754</v>
      </c>
      <c r="K18">
        <v>89169</v>
      </c>
    </row>
    <row r="19" spans="1:11" s="6" customFormat="1" x14ac:dyDescent="0.35">
      <c r="A19" s="2" t="s">
        <v>14</v>
      </c>
      <c r="B19">
        <v>-1365.76</v>
      </c>
      <c r="C19">
        <v>1486</v>
      </c>
      <c r="D19">
        <v>-244</v>
      </c>
      <c r="E19">
        <v>590</v>
      </c>
      <c r="F19">
        <v>270</v>
      </c>
      <c r="G19">
        <v>348</v>
      </c>
      <c r="H19">
        <v>3601</v>
      </c>
      <c r="I19">
        <v>2636</v>
      </c>
      <c r="J19">
        <v>3087</v>
      </c>
      <c r="K19">
        <v>-829</v>
      </c>
    </row>
    <row r="20" spans="1:11" s="6" customFormat="1" x14ac:dyDescent="0.35">
      <c r="A20" s="2" t="s">
        <v>15</v>
      </c>
      <c r="B20">
        <v>3657.88</v>
      </c>
      <c r="C20">
        <v>4883</v>
      </c>
      <c r="D20">
        <v>5697</v>
      </c>
      <c r="E20">
        <v>7053</v>
      </c>
      <c r="F20">
        <v>6272</v>
      </c>
      <c r="G20">
        <v>5985</v>
      </c>
      <c r="H20">
        <v>11289</v>
      </c>
      <c r="I20">
        <v>17452</v>
      </c>
      <c r="J20">
        <v>15127</v>
      </c>
      <c r="K20">
        <v>16161</v>
      </c>
    </row>
    <row r="21" spans="1:11" s="6" customFormat="1" x14ac:dyDescent="0.35">
      <c r="A21" s="2" t="s">
        <v>16</v>
      </c>
      <c r="B21">
        <v>5745.05</v>
      </c>
      <c r="C21">
        <v>6887</v>
      </c>
      <c r="D21">
        <v>8713</v>
      </c>
      <c r="E21">
        <v>10158</v>
      </c>
      <c r="F21">
        <v>10243</v>
      </c>
      <c r="G21">
        <v>16247</v>
      </c>
      <c r="H21">
        <v>29726</v>
      </c>
      <c r="I21">
        <v>26224</v>
      </c>
      <c r="J21">
        <v>29716</v>
      </c>
    </row>
    <row r="22" spans="1:11" s="6" customFormat="1" x14ac:dyDescent="0.35">
      <c r="A22" s="2" t="s">
        <v>17</v>
      </c>
      <c r="B22">
        <v>1518.67</v>
      </c>
      <c r="C22">
        <v>1700</v>
      </c>
      <c r="D22">
        <v>1843</v>
      </c>
      <c r="E22">
        <v>2489</v>
      </c>
      <c r="F22">
        <v>2839</v>
      </c>
      <c r="G22">
        <v>2506</v>
      </c>
      <c r="H22">
        <v>3493</v>
      </c>
      <c r="I22">
        <v>3915</v>
      </c>
      <c r="J22">
        <v>4591</v>
      </c>
      <c r="K22">
        <v>4798</v>
      </c>
    </row>
    <row r="23" spans="1:11" s="6" customFormat="1" x14ac:dyDescent="0.35">
      <c r="A23" s="2" t="s">
        <v>18</v>
      </c>
      <c r="B23">
        <v>332.82</v>
      </c>
      <c r="C23">
        <v>323</v>
      </c>
      <c r="D23">
        <v>277</v>
      </c>
      <c r="E23">
        <v>602</v>
      </c>
      <c r="F23">
        <v>450</v>
      </c>
      <c r="G23">
        <v>404</v>
      </c>
      <c r="H23">
        <v>557</v>
      </c>
      <c r="I23">
        <v>1018</v>
      </c>
      <c r="J23">
        <v>894</v>
      </c>
    </row>
    <row r="24" spans="1:11" s="6" customFormat="1" x14ac:dyDescent="0.35">
      <c r="A24" s="2" t="s">
        <v>19</v>
      </c>
      <c r="B24">
        <v>1322.66</v>
      </c>
      <c r="C24">
        <v>1240</v>
      </c>
      <c r="D24">
        <v>1462</v>
      </c>
      <c r="E24">
        <v>2319</v>
      </c>
      <c r="F24">
        <v>2979</v>
      </c>
      <c r="G24">
        <v>2011</v>
      </c>
      <c r="H24">
        <v>2922</v>
      </c>
      <c r="I24">
        <v>5547</v>
      </c>
      <c r="J24">
        <v>4854</v>
      </c>
      <c r="K24">
        <v>35274</v>
      </c>
    </row>
    <row r="25" spans="1:11" s="6" customFormat="1" x14ac:dyDescent="0.35">
      <c r="A25" s="6" t="s">
        <v>20</v>
      </c>
      <c r="B25">
        <v>-1966.23</v>
      </c>
      <c r="C25">
        <v>18</v>
      </c>
      <c r="D25">
        <v>-177</v>
      </c>
      <c r="E25">
        <v>196</v>
      </c>
      <c r="F25">
        <v>-289</v>
      </c>
      <c r="G25">
        <v>473</v>
      </c>
      <c r="H25">
        <v>1600</v>
      </c>
      <c r="I25">
        <v>1561</v>
      </c>
      <c r="J25">
        <v>1500</v>
      </c>
      <c r="K25">
        <v>205</v>
      </c>
    </row>
    <row r="26" spans="1:11" s="6" customFormat="1" x14ac:dyDescent="0.35">
      <c r="A26" s="6" t="s">
        <v>21</v>
      </c>
      <c r="B26">
        <v>3322.56</v>
      </c>
      <c r="C26">
        <v>3430</v>
      </c>
      <c r="D26">
        <v>3387</v>
      </c>
      <c r="E26">
        <v>4041</v>
      </c>
      <c r="F26">
        <v>4246</v>
      </c>
      <c r="G26">
        <v>4679</v>
      </c>
      <c r="H26">
        <v>6001</v>
      </c>
      <c r="I26">
        <v>7474</v>
      </c>
      <c r="J26">
        <v>8172</v>
      </c>
      <c r="K26">
        <v>9309</v>
      </c>
    </row>
    <row r="27" spans="1:11" s="6" customFormat="1" x14ac:dyDescent="0.35">
      <c r="A27" s="6" t="s">
        <v>22</v>
      </c>
      <c r="B27">
        <v>3601.18</v>
      </c>
      <c r="C27">
        <v>3768</v>
      </c>
      <c r="D27">
        <v>3701</v>
      </c>
      <c r="E27">
        <v>3917</v>
      </c>
      <c r="F27">
        <v>4265</v>
      </c>
      <c r="G27">
        <v>3957</v>
      </c>
      <c r="H27">
        <v>4968</v>
      </c>
      <c r="I27">
        <v>6902</v>
      </c>
      <c r="J27">
        <v>8105</v>
      </c>
      <c r="K27">
        <v>8412</v>
      </c>
    </row>
    <row r="28" spans="1:11" s="6" customFormat="1" x14ac:dyDescent="0.35">
      <c r="A28" s="6" t="s">
        <v>23</v>
      </c>
      <c r="B28">
        <v>-2467.66</v>
      </c>
      <c r="C28">
        <v>5128</v>
      </c>
      <c r="D28">
        <v>7651</v>
      </c>
      <c r="E28">
        <v>11168</v>
      </c>
      <c r="F28">
        <v>3013</v>
      </c>
      <c r="G28">
        <v>12015</v>
      </c>
      <c r="H28">
        <v>29745</v>
      </c>
      <c r="I28">
        <v>5655</v>
      </c>
      <c r="J28">
        <v>13380</v>
      </c>
      <c r="K28">
        <v>5077</v>
      </c>
    </row>
    <row r="29" spans="1:11" s="6" customFormat="1" x14ac:dyDescent="0.35">
      <c r="A29" s="6" t="s">
        <v>24</v>
      </c>
      <c r="B29">
        <v>-1966.21</v>
      </c>
      <c r="C29">
        <v>1674</v>
      </c>
      <c r="D29">
        <v>1538</v>
      </c>
      <c r="E29">
        <v>3644</v>
      </c>
      <c r="F29">
        <v>-906</v>
      </c>
      <c r="G29">
        <v>4142</v>
      </c>
      <c r="H29">
        <v>8807</v>
      </c>
      <c r="I29">
        <v>1516</v>
      </c>
      <c r="J29">
        <v>4407</v>
      </c>
      <c r="K29">
        <v>1586</v>
      </c>
    </row>
    <row r="30" spans="1:11" s="6" customFormat="1" x14ac:dyDescent="0.35">
      <c r="A30" s="6" t="s">
        <v>25</v>
      </c>
      <c r="B30">
        <v>-335.43</v>
      </c>
      <c r="C30">
        <v>3523</v>
      </c>
      <c r="D30">
        <v>6214</v>
      </c>
      <c r="E30">
        <v>7639</v>
      </c>
      <c r="F30">
        <v>4030</v>
      </c>
      <c r="G30">
        <v>7911</v>
      </c>
      <c r="H30">
        <v>20665</v>
      </c>
      <c r="I30">
        <v>4144</v>
      </c>
      <c r="J30">
        <v>8812</v>
      </c>
      <c r="K30">
        <v>3504</v>
      </c>
    </row>
    <row r="31" spans="1:11" s="6" customFormat="1" x14ac:dyDescent="0.35">
      <c r="A31" s="6" t="s">
        <v>26</v>
      </c>
      <c r="B31">
        <v>225.68</v>
      </c>
      <c r="C31">
        <v>677.25</v>
      </c>
      <c r="D31">
        <v>966.4</v>
      </c>
      <c r="E31">
        <v>1234.0999999999999</v>
      </c>
      <c r="F31">
        <v>602</v>
      </c>
      <c r="G31">
        <v>1963</v>
      </c>
      <c r="H31">
        <v>5222.3500000000004</v>
      </c>
      <c r="I31">
        <v>1023.4</v>
      </c>
      <c r="J31">
        <v>2226.5</v>
      </c>
      <c r="K31"/>
    </row>
    <row r="32" spans="1:11" s="6" customFormat="1" x14ac:dyDescent="0.35"/>
    <row r="33" spans="1:11" x14ac:dyDescent="0.35">
      <c r="A33" s="6"/>
    </row>
    <row r="34" spans="1:11" x14ac:dyDescent="0.35">
      <c r="A34" s="6"/>
    </row>
    <row r="35" spans="1:11" x14ac:dyDescent="0.35">
      <c r="A35" s="6"/>
    </row>
    <row r="36" spans="1:11" x14ac:dyDescent="0.35">
      <c r="A36" s="6"/>
    </row>
    <row r="37" spans="1:11" x14ac:dyDescent="0.35">
      <c r="A37" s="6"/>
    </row>
    <row r="38" spans="1:11" x14ac:dyDescent="0.35">
      <c r="A38" s="6"/>
    </row>
    <row r="39" spans="1:11" x14ac:dyDescent="0.35">
      <c r="A39" s="6"/>
    </row>
    <row r="40" spans="1:11" x14ac:dyDescent="0.35">
      <c r="A40" s="1" t="s">
        <v>27</v>
      </c>
    </row>
    <row r="41" spans="1:11" s="5" customFormat="1" x14ac:dyDescent="0.35">
      <c r="A41" s="3" t="s">
        <v>11</v>
      </c>
      <c r="B41" s="4">
        <v>44926</v>
      </c>
      <c r="C41" s="4">
        <v>45016</v>
      </c>
      <c r="D41" s="4">
        <v>45107</v>
      </c>
      <c r="E41" s="4">
        <v>45199</v>
      </c>
      <c r="F41" s="4">
        <v>45291</v>
      </c>
      <c r="G41" s="4">
        <v>45382</v>
      </c>
      <c r="H41" s="4">
        <v>45473</v>
      </c>
      <c r="I41" s="4">
        <v>45565</v>
      </c>
      <c r="J41" s="4">
        <v>45657</v>
      </c>
      <c r="K41" s="4">
        <v>45747</v>
      </c>
    </row>
    <row r="42" spans="1:11" s="6" customFormat="1" x14ac:dyDescent="0.35">
      <c r="A42" s="6" t="s">
        <v>12</v>
      </c>
      <c r="B42">
        <v>39134</v>
      </c>
      <c r="C42">
        <v>46962</v>
      </c>
      <c r="D42">
        <v>42213</v>
      </c>
      <c r="E42">
        <v>44584</v>
      </c>
      <c r="F42">
        <v>41940</v>
      </c>
      <c r="G42">
        <v>46269</v>
      </c>
      <c r="H42">
        <v>42943</v>
      </c>
      <c r="I42">
        <v>39684</v>
      </c>
      <c r="J42">
        <v>41378</v>
      </c>
      <c r="K42">
        <v>44819</v>
      </c>
    </row>
    <row r="43" spans="1:11" s="6" customFormat="1" x14ac:dyDescent="0.35">
      <c r="A43" s="6" t="s">
        <v>28</v>
      </c>
      <c r="B43">
        <v>34643</v>
      </c>
      <c r="C43">
        <v>39031</v>
      </c>
      <c r="D43">
        <v>35201</v>
      </c>
      <c r="E43">
        <v>36722</v>
      </c>
      <c r="F43">
        <v>34776</v>
      </c>
      <c r="G43">
        <v>40243</v>
      </c>
      <c r="H43">
        <v>37445</v>
      </c>
      <c r="I43">
        <v>34309</v>
      </c>
      <c r="J43">
        <v>35799</v>
      </c>
      <c r="K43">
        <v>38684</v>
      </c>
    </row>
    <row r="44" spans="1:11" s="6" customFormat="1" x14ac:dyDescent="0.35">
      <c r="A44" s="6" t="s">
        <v>20</v>
      </c>
      <c r="B44">
        <v>188</v>
      </c>
      <c r="C44">
        <v>465</v>
      </c>
      <c r="D44">
        <v>331</v>
      </c>
      <c r="E44">
        <v>826</v>
      </c>
      <c r="F44">
        <v>194</v>
      </c>
      <c r="G44">
        <v>242</v>
      </c>
      <c r="H44">
        <v>164</v>
      </c>
      <c r="I44">
        <v>-189</v>
      </c>
      <c r="J44">
        <v>50</v>
      </c>
      <c r="K44">
        <v>186</v>
      </c>
    </row>
    <row r="45" spans="1:11" s="6" customFormat="1" x14ac:dyDescent="0.35">
      <c r="A45" s="6" t="s">
        <v>21</v>
      </c>
      <c r="B45">
        <v>1882</v>
      </c>
      <c r="C45">
        <v>2009</v>
      </c>
      <c r="D45">
        <v>1900</v>
      </c>
      <c r="E45">
        <v>2019</v>
      </c>
      <c r="F45">
        <v>2059</v>
      </c>
      <c r="G45">
        <v>2194</v>
      </c>
      <c r="H45">
        <v>2209</v>
      </c>
      <c r="I45">
        <v>2267</v>
      </c>
      <c r="J45">
        <v>2336</v>
      </c>
      <c r="K45">
        <v>2497</v>
      </c>
    </row>
    <row r="46" spans="1:11" s="6" customFormat="1" x14ac:dyDescent="0.35">
      <c r="A46" s="6" t="s">
        <v>22</v>
      </c>
      <c r="B46">
        <v>1819</v>
      </c>
      <c r="C46">
        <v>2138</v>
      </c>
      <c r="D46">
        <v>1963</v>
      </c>
      <c r="E46">
        <v>2084</v>
      </c>
      <c r="F46">
        <v>1996</v>
      </c>
      <c r="G46">
        <v>2062</v>
      </c>
      <c r="H46">
        <v>2073</v>
      </c>
      <c r="I46">
        <v>2130</v>
      </c>
      <c r="J46">
        <v>2115</v>
      </c>
      <c r="K46">
        <v>2094</v>
      </c>
    </row>
    <row r="47" spans="1:11" s="6" customFormat="1" x14ac:dyDescent="0.35">
      <c r="A47" s="6" t="s">
        <v>23</v>
      </c>
      <c r="B47">
        <v>978</v>
      </c>
      <c r="C47">
        <v>4249</v>
      </c>
      <c r="D47">
        <v>3480</v>
      </c>
      <c r="E47">
        <v>4585</v>
      </c>
      <c r="F47">
        <v>3303</v>
      </c>
      <c r="G47">
        <v>2012</v>
      </c>
      <c r="H47">
        <v>1380</v>
      </c>
      <c r="I47">
        <v>789</v>
      </c>
      <c r="J47">
        <v>1178</v>
      </c>
      <c r="K47">
        <v>1730</v>
      </c>
    </row>
    <row r="48" spans="1:11" s="6" customFormat="1" x14ac:dyDescent="0.35">
      <c r="A48" s="6" t="s">
        <v>24</v>
      </c>
      <c r="B48">
        <v>504</v>
      </c>
      <c r="C48">
        <v>508</v>
      </c>
      <c r="D48">
        <v>1052</v>
      </c>
      <c r="E48">
        <v>1812</v>
      </c>
      <c r="F48">
        <v>853</v>
      </c>
      <c r="G48">
        <v>690</v>
      </c>
      <c r="H48">
        <v>513</v>
      </c>
      <c r="I48">
        <v>385</v>
      </c>
      <c r="J48">
        <v>459</v>
      </c>
      <c r="K48">
        <v>229</v>
      </c>
    </row>
    <row r="49" spans="1:11" s="6" customFormat="1" x14ac:dyDescent="0.35">
      <c r="A49" s="6" t="s">
        <v>25</v>
      </c>
      <c r="B49">
        <v>490</v>
      </c>
      <c r="C49">
        <v>3664</v>
      </c>
      <c r="D49">
        <v>2338</v>
      </c>
      <c r="E49">
        <v>2760</v>
      </c>
      <c r="F49">
        <v>2415</v>
      </c>
      <c r="G49">
        <v>1299</v>
      </c>
      <c r="H49">
        <v>845</v>
      </c>
      <c r="I49">
        <v>439</v>
      </c>
      <c r="J49">
        <v>717</v>
      </c>
      <c r="K49">
        <v>1503</v>
      </c>
    </row>
    <row r="50" spans="1:11" x14ac:dyDescent="0.35">
      <c r="A50" s="6" t="s">
        <v>29</v>
      </c>
      <c r="B50">
        <v>4491</v>
      </c>
      <c r="C50">
        <v>7931</v>
      </c>
      <c r="D50">
        <v>7012</v>
      </c>
      <c r="E50">
        <v>7862</v>
      </c>
      <c r="F50">
        <v>7164</v>
      </c>
      <c r="G50">
        <v>6026</v>
      </c>
      <c r="H50">
        <v>5498</v>
      </c>
      <c r="I50">
        <v>5375</v>
      </c>
      <c r="J50">
        <v>5579</v>
      </c>
      <c r="K50">
        <v>6135</v>
      </c>
    </row>
    <row r="51" spans="1:11" x14ac:dyDescent="0.35">
      <c r="A51" s="6"/>
    </row>
    <row r="52" spans="1:11" x14ac:dyDescent="0.35">
      <c r="A52" s="6"/>
    </row>
    <row r="53" spans="1:11" x14ac:dyDescent="0.35">
      <c r="A53" s="6"/>
    </row>
    <row r="54" spans="1:11" x14ac:dyDescent="0.35">
      <c r="A54" s="6"/>
    </row>
    <row r="55" spans="1:11" x14ac:dyDescent="0.35">
      <c r="A55" s="1" t="s">
        <v>30</v>
      </c>
    </row>
    <row r="56" spans="1:11" s="5" customFormat="1" x14ac:dyDescent="0.35">
      <c r="A56" s="3" t="s">
        <v>11</v>
      </c>
      <c r="B56" s="4">
        <v>42460</v>
      </c>
      <c r="C56" s="4">
        <v>42825</v>
      </c>
      <c r="D56" s="4">
        <v>43190</v>
      </c>
      <c r="E56" s="4">
        <v>43555</v>
      </c>
      <c r="F56" s="4">
        <v>43921</v>
      </c>
      <c r="G56" s="4">
        <v>44286</v>
      </c>
      <c r="H56" s="4">
        <v>44651</v>
      </c>
      <c r="I56" s="4">
        <v>45016</v>
      </c>
      <c r="J56" s="4">
        <v>45382</v>
      </c>
      <c r="K56" s="4">
        <v>45747</v>
      </c>
    </row>
    <row r="57" spans="1:11" x14ac:dyDescent="0.35">
      <c r="A57" s="6" t="s">
        <v>31</v>
      </c>
      <c r="B57">
        <v>300.89999999999998</v>
      </c>
      <c r="C57">
        <v>301</v>
      </c>
      <c r="D57">
        <v>302</v>
      </c>
      <c r="E57">
        <v>301</v>
      </c>
      <c r="F57">
        <v>301</v>
      </c>
      <c r="G57">
        <v>302</v>
      </c>
      <c r="H57">
        <v>301</v>
      </c>
      <c r="I57">
        <v>301</v>
      </c>
      <c r="J57">
        <v>305</v>
      </c>
      <c r="K57">
        <v>305</v>
      </c>
    </row>
    <row r="58" spans="1:11" x14ac:dyDescent="0.35">
      <c r="A58" s="6" t="s">
        <v>32</v>
      </c>
      <c r="B58">
        <v>18664.55</v>
      </c>
      <c r="C58">
        <v>22346</v>
      </c>
      <c r="D58">
        <v>27696</v>
      </c>
      <c r="E58">
        <v>34494</v>
      </c>
      <c r="F58">
        <v>36298</v>
      </c>
      <c r="G58">
        <v>46462</v>
      </c>
      <c r="H58">
        <v>66996</v>
      </c>
      <c r="I58">
        <v>65394</v>
      </c>
      <c r="J58">
        <v>77364</v>
      </c>
      <c r="K58">
        <v>79191</v>
      </c>
    </row>
    <row r="59" spans="1:11" x14ac:dyDescent="0.35">
      <c r="A59" s="6" t="s">
        <v>33</v>
      </c>
      <c r="B59">
        <v>42204.03</v>
      </c>
      <c r="C59">
        <v>43334</v>
      </c>
      <c r="D59">
        <v>39393</v>
      </c>
      <c r="E59">
        <v>47396</v>
      </c>
      <c r="F59">
        <v>61423</v>
      </c>
      <c r="G59">
        <v>62392</v>
      </c>
      <c r="H59">
        <v>72237</v>
      </c>
      <c r="I59">
        <v>80853</v>
      </c>
      <c r="J59">
        <v>87984</v>
      </c>
      <c r="K59">
        <v>98752</v>
      </c>
    </row>
    <row r="60" spans="1:11" x14ac:dyDescent="0.35">
      <c r="A60" s="6" t="s">
        <v>34</v>
      </c>
      <c r="B60">
        <v>20737.419999999998</v>
      </c>
      <c r="C60">
        <v>22024</v>
      </c>
      <c r="D60">
        <v>24579</v>
      </c>
      <c r="E60">
        <v>32606</v>
      </c>
      <c r="F60">
        <v>33798</v>
      </c>
      <c r="G60">
        <v>39161</v>
      </c>
      <c r="H60">
        <v>56951</v>
      </c>
      <c r="I60">
        <v>63991</v>
      </c>
      <c r="J60">
        <v>62245</v>
      </c>
      <c r="K60">
        <v>62494</v>
      </c>
    </row>
    <row r="61" spans="1:11" s="1" customFormat="1" x14ac:dyDescent="0.35">
      <c r="A61" s="1" t="s">
        <v>35</v>
      </c>
      <c r="B61">
        <v>81906.899999999994</v>
      </c>
      <c r="C61">
        <v>88005</v>
      </c>
      <c r="D61">
        <v>91970</v>
      </c>
      <c r="E61">
        <v>114797</v>
      </c>
      <c r="F61">
        <v>131820</v>
      </c>
      <c r="G61">
        <v>148317</v>
      </c>
      <c r="H61">
        <v>196485</v>
      </c>
      <c r="I61">
        <v>210539</v>
      </c>
      <c r="J61">
        <v>227898</v>
      </c>
      <c r="K61">
        <v>240742</v>
      </c>
    </row>
    <row r="62" spans="1:11" x14ac:dyDescent="0.35">
      <c r="A62" s="6" t="s">
        <v>36</v>
      </c>
      <c r="B62">
        <v>56139.519999999997</v>
      </c>
      <c r="C62">
        <v>58730</v>
      </c>
      <c r="D62">
        <v>57848</v>
      </c>
      <c r="E62">
        <v>62644</v>
      </c>
      <c r="F62">
        <v>62085</v>
      </c>
      <c r="G62">
        <v>64917</v>
      </c>
      <c r="H62">
        <v>99880</v>
      </c>
      <c r="I62">
        <v>104452</v>
      </c>
      <c r="J62">
        <v>112461</v>
      </c>
      <c r="K62">
        <v>124995</v>
      </c>
    </row>
    <row r="63" spans="1:11" x14ac:dyDescent="0.35">
      <c r="A63" s="6" t="s">
        <v>37</v>
      </c>
      <c r="B63">
        <v>7270.85</v>
      </c>
      <c r="C63">
        <v>4363</v>
      </c>
      <c r="D63">
        <v>5950</v>
      </c>
      <c r="E63">
        <v>11889</v>
      </c>
      <c r="F63">
        <v>27191</v>
      </c>
      <c r="G63">
        <v>32566</v>
      </c>
      <c r="H63">
        <v>16905</v>
      </c>
      <c r="I63">
        <v>22166</v>
      </c>
      <c r="J63">
        <v>29676</v>
      </c>
      <c r="K63">
        <v>20478</v>
      </c>
    </row>
    <row r="64" spans="1:11" x14ac:dyDescent="0.35">
      <c r="A64" s="6" t="s">
        <v>38</v>
      </c>
      <c r="B64">
        <v>1194.6099999999999</v>
      </c>
      <c r="C64">
        <v>1366</v>
      </c>
      <c r="D64">
        <v>1469</v>
      </c>
      <c r="E64">
        <v>1894</v>
      </c>
      <c r="F64">
        <v>1259</v>
      </c>
      <c r="G64">
        <v>8581</v>
      </c>
      <c r="H64">
        <v>4940</v>
      </c>
      <c r="I64">
        <v>4806</v>
      </c>
      <c r="J64">
        <v>7246</v>
      </c>
      <c r="K64">
        <v>15217</v>
      </c>
    </row>
    <row r="65" spans="1:11" x14ac:dyDescent="0.35">
      <c r="A65" s="6" t="s">
        <v>39</v>
      </c>
      <c r="B65">
        <v>17301.919999999998</v>
      </c>
      <c r="C65">
        <v>23546</v>
      </c>
      <c r="D65">
        <v>26703</v>
      </c>
      <c r="E65">
        <v>38370</v>
      </c>
      <c r="F65">
        <v>41285</v>
      </c>
      <c r="G65">
        <v>42253</v>
      </c>
      <c r="H65">
        <v>74760</v>
      </c>
      <c r="I65">
        <v>79115</v>
      </c>
      <c r="J65">
        <v>78515</v>
      </c>
      <c r="K65">
        <v>80052</v>
      </c>
    </row>
    <row r="66" spans="1:11" s="1" customFormat="1" x14ac:dyDescent="0.35">
      <c r="A66" s="1" t="s">
        <v>35</v>
      </c>
      <c r="B66">
        <v>81906.899999999994</v>
      </c>
      <c r="C66">
        <v>88005</v>
      </c>
      <c r="D66">
        <v>91970</v>
      </c>
      <c r="E66">
        <v>114797</v>
      </c>
      <c r="F66">
        <v>131820</v>
      </c>
      <c r="G66">
        <v>148317</v>
      </c>
      <c r="H66">
        <v>196485</v>
      </c>
      <c r="I66">
        <v>210539</v>
      </c>
      <c r="J66">
        <v>227898</v>
      </c>
      <c r="K66">
        <v>240742</v>
      </c>
    </row>
    <row r="67" spans="1:11" s="6" customFormat="1" x14ac:dyDescent="0.35">
      <c r="A67" s="6" t="s">
        <v>40</v>
      </c>
      <c r="B67">
        <v>2727.37</v>
      </c>
      <c r="C67">
        <v>4149</v>
      </c>
      <c r="D67">
        <v>4704</v>
      </c>
      <c r="E67">
        <v>7160</v>
      </c>
      <c r="F67">
        <v>4505</v>
      </c>
      <c r="G67">
        <v>4486</v>
      </c>
      <c r="H67">
        <v>7457</v>
      </c>
      <c r="I67">
        <v>7134</v>
      </c>
      <c r="J67">
        <v>7548</v>
      </c>
      <c r="K67">
        <v>8415</v>
      </c>
    </row>
    <row r="68" spans="1:11" x14ac:dyDescent="0.35">
      <c r="A68" s="6" t="s">
        <v>41</v>
      </c>
      <c r="B68">
        <v>8321.18</v>
      </c>
      <c r="C68">
        <v>11395</v>
      </c>
      <c r="D68">
        <v>12594</v>
      </c>
      <c r="E68">
        <v>14548</v>
      </c>
      <c r="F68">
        <v>13773</v>
      </c>
      <c r="G68">
        <v>14249</v>
      </c>
      <c r="H68">
        <v>33787</v>
      </c>
      <c r="I68">
        <v>33135</v>
      </c>
      <c r="J68">
        <v>37815</v>
      </c>
      <c r="K68">
        <v>34956</v>
      </c>
    </row>
    <row r="69" spans="1:11" x14ac:dyDescent="0.35">
      <c r="A69" s="2" t="s">
        <v>42</v>
      </c>
      <c r="B69">
        <v>1020.4</v>
      </c>
      <c r="C69">
        <v>1485</v>
      </c>
      <c r="D69">
        <v>1063</v>
      </c>
      <c r="E69">
        <v>6187</v>
      </c>
      <c r="F69">
        <v>12003</v>
      </c>
      <c r="G69">
        <v>12813</v>
      </c>
      <c r="H69">
        <v>17383</v>
      </c>
      <c r="I69">
        <v>20714</v>
      </c>
      <c r="J69">
        <v>12348</v>
      </c>
      <c r="K69">
        <v>13285</v>
      </c>
    </row>
    <row r="70" spans="1:11" x14ac:dyDescent="0.35">
      <c r="A70" s="2" t="s">
        <v>43</v>
      </c>
      <c r="B70">
        <v>300903227</v>
      </c>
      <c r="C70">
        <v>3012984690</v>
      </c>
      <c r="D70">
        <v>3016231580</v>
      </c>
      <c r="E70">
        <v>3011711464</v>
      </c>
      <c r="F70">
        <v>3011711464</v>
      </c>
      <c r="G70">
        <v>3015766346</v>
      </c>
      <c r="H70">
        <v>3016603583</v>
      </c>
      <c r="I70">
        <v>3020456419</v>
      </c>
      <c r="J70">
        <v>3052602319</v>
      </c>
    </row>
    <row r="71" spans="1:11" x14ac:dyDescent="0.35">
      <c r="A71" s="2" t="s">
        <v>44</v>
      </c>
    </row>
    <row r="72" spans="1:11" x14ac:dyDescent="0.35">
      <c r="A72" s="2" t="s">
        <v>45</v>
      </c>
      <c r="B72">
        <v>10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4" spans="1:11" x14ac:dyDescent="0.35">
      <c r="A74" s="6"/>
    </row>
    <row r="75" spans="1:11" x14ac:dyDescent="0.35">
      <c r="A75" s="6"/>
    </row>
    <row r="76" spans="1:11" x14ac:dyDescent="0.35">
      <c r="A76" s="6"/>
    </row>
    <row r="77" spans="1:11" x14ac:dyDescent="0.35">
      <c r="A77" s="6"/>
    </row>
    <row r="78" spans="1:11" x14ac:dyDescent="0.35">
      <c r="A78" s="6"/>
    </row>
    <row r="79" spans="1:11" x14ac:dyDescent="0.35">
      <c r="A79" s="6"/>
    </row>
    <row r="80" spans="1:11" x14ac:dyDescent="0.35">
      <c r="A80" s="1" t="s">
        <v>46</v>
      </c>
    </row>
    <row r="81" spans="1:11" s="5" customFormat="1" x14ac:dyDescent="0.35">
      <c r="A81" s="3" t="s">
        <v>11</v>
      </c>
      <c r="B81" s="4">
        <v>42460</v>
      </c>
      <c r="C81" s="4">
        <v>42825</v>
      </c>
      <c r="D81" s="4">
        <v>43190</v>
      </c>
      <c r="E81" s="4">
        <v>43555</v>
      </c>
      <c r="F81" s="4">
        <v>43921</v>
      </c>
      <c r="G81" s="4">
        <v>44286</v>
      </c>
      <c r="H81" s="4">
        <v>44651</v>
      </c>
      <c r="I81" s="4">
        <v>45016</v>
      </c>
      <c r="J81" s="4">
        <v>45382</v>
      </c>
      <c r="K81" s="4">
        <v>45747</v>
      </c>
    </row>
    <row r="82" spans="1:11" s="1" customFormat="1" x14ac:dyDescent="0.35">
      <c r="A82" s="6" t="s">
        <v>47</v>
      </c>
      <c r="B82">
        <v>6897.32</v>
      </c>
      <c r="C82">
        <v>7888</v>
      </c>
      <c r="D82">
        <v>12379</v>
      </c>
      <c r="E82">
        <v>14633</v>
      </c>
      <c r="F82">
        <v>12785</v>
      </c>
      <c r="G82">
        <v>18789</v>
      </c>
      <c r="H82">
        <v>26270</v>
      </c>
      <c r="I82">
        <v>23323</v>
      </c>
      <c r="J82">
        <v>12078</v>
      </c>
      <c r="K82">
        <v>20899</v>
      </c>
    </row>
    <row r="83" spans="1:11" s="6" customFormat="1" x14ac:dyDescent="0.35">
      <c r="A83" s="6" t="s">
        <v>48</v>
      </c>
      <c r="B83">
        <v>-3857.37</v>
      </c>
      <c r="C83">
        <v>-5094</v>
      </c>
      <c r="D83">
        <v>-4529</v>
      </c>
      <c r="E83">
        <v>-11387</v>
      </c>
      <c r="F83">
        <v>-19589</v>
      </c>
      <c r="G83">
        <v>-7702</v>
      </c>
      <c r="H83">
        <v>-14748</v>
      </c>
      <c r="I83">
        <v>-10730</v>
      </c>
      <c r="J83">
        <v>-14467</v>
      </c>
      <c r="K83">
        <v>-16997</v>
      </c>
    </row>
    <row r="84" spans="1:11" s="6" customFormat="1" x14ac:dyDescent="0.35">
      <c r="A84" s="6" t="s">
        <v>49</v>
      </c>
      <c r="B84">
        <v>-3150.66</v>
      </c>
      <c r="C84">
        <v>-2710</v>
      </c>
      <c r="D84">
        <v>-8185</v>
      </c>
      <c r="E84">
        <v>1753</v>
      </c>
      <c r="F84">
        <v>5189</v>
      </c>
      <c r="G84">
        <v>-3110</v>
      </c>
      <c r="H84">
        <v>-14657</v>
      </c>
      <c r="I84">
        <v>-5977</v>
      </c>
      <c r="J84">
        <v>-5005</v>
      </c>
      <c r="K84">
        <v>-262</v>
      </c>
    </row>
    <row r="85" spans="1:11" s="1" customFormat="1" x14ac:dyDescent="0.35">
      <c r="A85" s="6" t="s">
        <v>50</v>
      </c>
      <c r="B85">
        <v>-110.71</v>
      </c>
      <c r="C85">
        <v>84</v>
      </c>
      <c r="D85">
        <v>-335</v>
      </c>
      <c r="E85">
        <v>4999</v>
      </c>
      <c r="F85">
        <v>-1615</v>
      </c>
      <c r="G85">
        <v>7977</v>
      </c>
      <c r="H85">
        <v>-3135</v>
      </c>
      <c r="I85">
        <v>6616</v>
      </c>
      <c r="J85">
        <v>-7394</v>
      </c>
      <c r="K85">
        <v>3640</v>
      </c>
    </row>
    <row r="86" spans="1:11" x14ac:dyDescent="0.35">
      <c r="A86" s="6"/>
    </row>
    <row r="87" spans="1:11" x14ac:dyDescent="0.35">
      <c r="A87" s="6"/>
    </row>
    <row r="88" spans="1:11" x14ac:dyDescent="0.35">
      <c r="A88" s="6"/>
    </row>
    <row r="89" spans="1:11" x14ac:dyDescent="0.35">
      <c r="A89" s="6"/>
    </row>
    <row r="90" spans="1:11" s="1" customFormat="1" x14ac:dyDescent="0.35">
      <c r="A90" s="1" t="s">
        <v>51</v>
      </c>
      <c r="B90">
        <v>128.33000000000001</v>
      </c>
      <c r="C90">
        <v>188.2</v>
      </c>
      <c r="D90">
        <v>288.14999999999998</v>
      </c>
      <c r="E90">
        <v>293.05</v>
      </c>
      <c r="F90">
        <v>146.25</v>
      </c>
      <c r="G90">
        <v>468.45</v>
      </c>
      <c r="H90">
        <v>732.65</v>
      </c>
      <c r="I90">
        <v>688.1</v>
      </c>
      <c r="J90">
        <v>830.2</v>
      </c>
      <c r="K90">
        <v>1063.2</v>
      </c>
    </row>
    <row r="92" spans="1:11" s="1" customFormat="1" x14ac:dyDescent="0.35">
      <c r="A92" s="1" t="s">
        <v>52</v>
      </c>
    </row>
    <row r="93" spans="1:11" x14ac:dyDescent="0.35">
      <c r="A93" s="2" t="s">
        <v>53</v>
      </c>
      <c r="B93" s="7">
        <v>241.72</v>
      </c>
      <c r="C93" s="7">
        <v>241.72</v>
      </c>
      <c r="D93" s="7">
        <v>241.72</v>
      </c>
      <c r="E93" s="7">
        <v>241.72</v>
      </c>
      <c r="F93" s="7">
        <v>241.72</v>
      </c>
      <c r="G93" s="7">
        <v>241.72</v>
      </c>
      <c r="H93" s="7">
        <v>241.72</v>
      </c>
      <c r="I93" s="7">
        <v>241.72</v>
      </c>
      <c r="J93" s="7">
        <v>244.55</v>
      </c>
      <c r="K93" s="7">
        <v>244.55</v>
      </c>
    </row>
  </sheetData>
  <mergeCells count="2">
    <mergeCell ref="E1:K1"/>
    <mergeCell ref="E2:K2"/>
  </mergeCells>
  <conditionalFormatting sqref="E1:K1">
    <cfRule type="cellIs" dxfId="0" priority="1" operator="notEqual">
      <formula>""</formula>
    </cfRule>
  </conditionalFormatting>
  <hyperlinks>
    <hyperlink ref="E1:K1" r:id="rId1" display="https://www.screener.in/excel/"/>
  </hyperlinks>
  <pageMargins left="0.7" right="0.7" top="0.75" bottom="0.75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Q33"/>
  <sheetViews>
    <sheetView workbookViewId="0">
      <selection activeCell="B1" sqref="B1"/>
    </sheetView>
  </sheetViews>
  <sheetFormatPr defaultRowHeight="14.5" x14ac:dyDescent="0.35"/>
  <cols>
    <col min="1" max="1" width="1.90625" style="8" customWidth="1"/>
    <col min="2" max="2" width="29.36328125" style="8" customWidth="1"/>
    <col min="3" max="16384" width="8.7265625" style="8"/>
  </cols>
  <sheetData>
    <row r="2" spans="2:17" ht="15" thickBot="1" x14ac:dyDescent="0.4">
      <c r="B2" s="47"/>
      <c r="C2" s="48">
        <v>41699</v>
      </c>
      <c r="D2" s="48">
        <v>42064</v>
      </c>
      <c r="E2" s="48">
        <v>42430</v>
      </c>
      <c r="F2" s="48">
        <v>42795</v>
      </c>
      <c r="G2" s="48">
        <v>43160</v>
      </c>
      <c r="H2" s="48">
        <v>43525</v>
      </c>
      <c r="I2" s="48">
        <v>43891</v>
      </c>
      <c r="J2" s="48">
        <v>44256</v>
      </c>
      <c r="K2" s="48">
        <v>44621</v>
      </c>
      <c r="L2" s="48">
        <v>44986</v>
      </c>
      <c r="M2" s="48">
        <v>45352</v>
      </c>
      <c r="N2" s="48">
        <v>45717</v>
      </c>
      <c r="P2" s="48" t="s">
        <v>157</v>
      </c>
    </row>
    <row r="3" spans="2:17" x14ac:dyDescent="0.35">
      <c r="B3" s="11" t="s">
        <v>114</v>
      </c>
      <c r="C3" s="49">
        <v>2594</v>
      </c>
      <c r="D3" s="49">
        <v>7876</v>
      </c>
      <c r="E3" s="49">
        <v>6897</v>
      </c>
      <c r="F3" s="49">
        <v>7888</v>
      </c>
      <c r="G3" s="49">
        <v>12379</v>
      </c>
      <c r="H3" s="49">
        <v>14633</v>
      </c>
      <c r="I3" s="49">
        <v>12785</v>
      </c>
      <c r="J3" s="49">
        <v>18789</v>
      </c>
      <c r="K3" s="49">
        <v>26270</v>
      </c>
      <c r="L3" s="49">
        <v>23323</v>
      </c>
      <c r="M3" s="49">
        <v>12078</v>
      </c>
      <c r="N3" s="49">
        <v>20899</v>
      </c>
      <c r="P3" s="53" t="s">
        <v>158</v>
      </c>
    </row>
    <row r="4" spans="2:17" x14ac:dyDescent="0.35">
      <c r="B4" s="8" t="s">
        <v>89</v>
      </c>
      <c r="C4" s="50">
        <v>6517</v>
      </c>
      <c r="D4" s="50">
        <v>8850</v>
      </c>
      <c r="E4" s="50">
        <v>6614</v>
      </c>
      <c r="F4" s="50">
        <v>11994</v>
      </c>
      <c r="G4" s="50">
        <v>14920</v>
      </c>
      <c r="H4" s="50">
        <v>18844</v>
      </c>
      <c r="I4" s="50">
        <v>12301</v>
      </c>
      <c r="J4" s="50">
        <v>19455</v>
      </c>
      <c r="K4" s="50">
        <v>38913</v>
      </c>
      <c r="L4" s="50">
        <v>20856</v>
      </c>
      <c r="M4" s="50">
        <v>28472</v>
      </c>
      <c r="N4" s="50">
        <v>23553</v>
      </c>
      <c r="O4" s="50"/>
      <c r="P4" s="54" t="s">
        <v>160</v>
      </c>
      <c r="Q4" s="50"/>
    </row>
    <row r="5" spans="2:17" x14ac:dyDescent="0.35">
      <c r="B5" s="8" t="s">
        <v>40</v>
      </c>
      <c r="C5" s="8">
        <v>284</v>
      </c>
      <c r="D5" s="50">
        <v>-207</v>
      </c>
      <c r="E5" s="50">
        <v>-294</v>
      </c>
      <c r="F5" s="50">
        <v>-1352</v>
      </c>
      <c r="G5" s="50">
        <v>-640</v>
      </c>
      <c r="H5" s="50">
        <v>-2203</v>
      </c>
      <c r="I5" s="50">
        <v>2458</v>
      </c>
      <c r="J5" s="50">
        <v>72</v>
      </c>
      <c r="K5" s="50">
        <v>-1884</v>
      </c>
      <c r="L5" s="50">
        <v>317</v>
      </c>
      <c r="M5" s="50">
        <v>-154</v>
      </c>
      <c r="N5" s="50">
        <v>-866</v>
      </c>
      <c r="P5" s="53" t="s">
        <v>159</v>
      </c>
    </row>
    <row r="6" spans="2:17" x14ac:dyDescent="0.35">
      <c r="B6" s="8" t="s">
        <v>41</v>
      </c>
      <c r="C6" s="50">
        <v>-976</v>
      </c>
      <c r="D6" s="50">
        <v>-2854</v>
      </c>
      <c r="E6" s="50">
        <v>2578</v>
      </c>
      <c r="F6" s="50">
        <v>-3065</v>
      </c>
      <c r="G6" s="50">
        <v>-1199</v>
      </c>
      <c r="H6" s="50">
        <v>-1741</v>
      </c>
      <c r="I6" s="50">
        <v>744</v>
      </c>
      <c r="J6" s="50">
        <v>-335</v>
      </c>
      <c r="K6" s="50">
        <v>-15593</v>
      </c>
      <c r="L6" s="50">
        <v>704</v>
      </c>
      <c r="M6" s="50">
        <v>-3284</v>
      </c>
      <c r="N6" s="50">
        <v>2609</v>
      </c>
    </row>
    <row r="7" spans="2:17" x14ac:dyDescent="0.35">
      <c r="B7" s="8" t="s">
        <v>90</v>
      </c>
      <c r="C7" s="50">
        <v>0</v>
      </c>
      <c r="D7" s="50">
        <v>2543</v>
      </c>
      <c r="E7" s="50">
        <v>-2143</v>
      </c>
      <c r="F7" s="50">
        <v>1561</v>
      </c>
      <c r="G7" s="50">
        <v>2514</v>
      </c>
      <c r="H7" s="50">
        <v>3406</v>
      </c>
      <c r="I7" s="50">
        <v>183</v>
      </c>
      <c r="J7" s="50">
        <v>1306</v>
      </c>
      <c r="K7" s="50">
        <v>13013</v>
      </c>
      <c r="L7" s="50">
        <v>4965</v>
      </c>
      <c r="M7" s="50">
        <v>-7235</v>
      </c>
      <c r="N7" s="50">
        <v>-1096</v>
      </c>
    </row>
    <row r="8" spans="2:17" x14ac:dyDescent="0.35">
      <c r="B8" s="8" t="s">
        <v>91</v>
      </c>
      <c r="C8" s="8">
        <v>51</v>
      </c>
      <c r="D8" s="8">
        <v>286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50">
        <v>0</v>
      </c>
    </row>
    <row r="9" spans="2:17" x14ac:dyDescent="0.35">
      <c r="B9" s="8" t="s">
        <v>92</v>
      </c>
      <c r="C9" s="50">
        <v>-2878</v>
      </c>
      <c r="D9" s="8">
        <v>31</v>
      </c>
      <c r="E9" s="50">
        <v>351</v>
      </c>
      <c r="F9" s="50">
        <v>-1013</v>
      </c>
      <c r="G9" s="50">
        <v>-1776</v>
      </c>
      <c r="H9" s="50">
        <v>-1043</v>
      </c>
      <c r="I9" s="50">
        <v>-1746</v>
      </c>
      <c r="J9" s="50">
        <v>221</v>
      </c>
      <c r="K9" s="50">
        <v>-2800</v>
      </c>
      <c r="L9" s="50">
        <v>-2881</v>
      </c>
      <c r="M9" s="50">
        <v>-2942</v>
      </c>
      <c r="N9" s="50">
        <v>-1328</v>
      </c>
    </row>
    <row r="10" spans="2:17" x14ac:dyDescent="0.35">
      <c r="B10" s="52" t="s">
        <v>93</v>
      </c>
      <c r="C10" s="51">
        <v>-3520</v>
      </c>
      <c r="D10" s="51">
        <v>-202</v>
      </c>
      <c r="E10" s="51">
        <v>491</v>
      </c>
      <c r="F10" s="51">
        <v>-3869</v>
      </c>
      <c r="G10" s="51">
        <v>-1101</v>
      </c>
      <c r="H10" s="51">
        <v>-1581</v>
      </c>
      <c r="I10" s="51">
        <v>1639</v>
      </c>
      <c r="J10" s="51">
        <v>1264</v>
      </c>
      <c r="K10" s="51">
        <v>-7264</v>
      </c>
      <c r="L10" s="51">
        <v>3105</v>
      </c>
      <c r="M10" s="51">
        <v>-13615</v>
      </c>
      <c r="N10" s="51">
        <v>-681</v>
      </c>
    </row>
    <row r="11" spans="2:17" x14ac:dyDescent="0.35">
      <c r="B11" s="8" t="s">
        <v>94</v>
      </c>
      <c r="C11" s="50">
        <v>-404</v>
      </c>
      <c r="D11" s="50">
        <v>-773</v>
      </c>
      <c r="E11" s="50">
        <v>-207</v>
      </c>
      <c r="F11" s="50">
        <v>-237</v>
      </c>
      <c r="G11" s="50">
        <v>-1440</v>
      </c>
      <c r="H11" s="50">
        <v>-2630</v>
      </c>
      <c r="I11" s="50">
        <v>-1155</v>
      </c>
      <c r="J11" s="50">
        <v>-1930</v>
      </c>
      <c r="K11" s="50">
        <v>-5379</v>
      </c>
      <c r="L11" s="50">
        <v>-638</v>
      </c>
      <c r="M11" s="50">
        <v>-2779</v>
      </c>
      <c r="N11" s="50">
        <v>-1973</v>
      </c>
    </row>
    <row r="12" spans="2:17" x14ac:dyDescent="0.35">
      <c r="B12" s="11" t="s">
        <v>115</v>
      </c>
      <c r="C12" s="49">
        <v>-5618</v>
      </c>
      <c r="D12" s="49">
        <v>-7372</v>
      </c>
      <c r="E12" s="49">
        <v>-3857</v>
      </c>
      <c r="F12" s="49">
        <v>-5094</v>
      </c>
      <c r="G12" s="49">
        <v>-4529</v>
      </c>
      <c r="H12" s="49">
        <v>-11387</v>
      </c>
      <c r="I12" s="49">
        <v>-19589</v>
      </c>
      <c r="J12" s="49">
        <v>-7702</v>
      </c>
      <c r="K12" s="49">
        <v>-14748</v>
      </c>
      <c r="L12" s="49">
        <v>-10730</v>
      </c>
      <c r="M12" s="49">
        <v>-14467</v>
      </c>
      <c r="N12" s="49">
        <v>-16997</v>
      </c>
    </row>
    <row r="13" spans="2:17" x14ac:dyDescent="0.35">
      <c r="B13" s="8" t="s">
        <v>95</v>
      </c>
      <c r="C13" s="50">
        <v>-5763</v>
      </c>
      <c r="D13" s="50">
        <v>-6721</v>
      </c>
      <c r="E13" s="50">
        <v>-5166</v>
      </c>
      <c r="F13" s="50">
        <v>-4435</v>
      </c>
      <c r="G13" s="50">
        <v>-4736</v>
      </c>
      <c r="H13" s="50">
        <v>-10206</v>
      </c>
      <c r="I13" s="50">
        <v>-12810</v>
      </c>
      <c r="J13" s="50">
        <v>-9258</v>
      </c>
      <c r="K13" s="50">
        <v>-10091</v>
      </c>
      <c r="L13" s="50">
        <v>-14784</v>
      </c>
      <c r="M13" s="50">
        <v>-15801</v>
      </c>
      <c r="N13" s="50">
        <v>-12694</v>
      </c>
    </row>
    <row r="14" spans="2:17" x14ac:dyDescent="0.35">
      <c r="B14" s="8" t="s">
        <v>96</v>
      </c>
      <c r="C14" s="8">
        <v>19</v>
      </c>
      <c r="D14" s="8">
        <v>207</v>
      </c>
      <c r="E14" s="8">
        <v>4</v>
      </c>
      <c r="F14" s="8">
        <v>45</v>
      </c>
      <c r="G14" s="8">
        <v>60</v>
      </c>
      <c r="H14" s="8">
        <v>44</v>
      </c>
      <c r="I14" s="8">
        <v>43</v>
      </c>
      <c r="J14" s="8">
        <v>51</v>
      </c>
      <c r="K14" s="8">
        <v>43</v>
      </c>
      <c r="L14" s="8">
        <v>35</v>
      </c>
      <c r="M14" s="8">
        <v>254</v>
      </c>
      <c r="N14" s="8">
        <v>59</v>
      </c>
    </row>
    <row r="15" spans="2:17" x14ac:dyDescent="0.35">
      <c r="B15" s="8" t="s">
        <v>97</v>
      </c>
      <c r="C15" s="8">
        <v>-75</v>
      </c>
      <c r="D15" s="50">
        <v>0</v>
      </c>
      <c r="E15" s="50">
        <v>0</v>
      </c>
      <c r="F15" s="50">
        <v>-2784</v>
      </c>
      <c r="G15" s="50">
        <v>-8111</v>
      </c>
      <c r="H15" s="50">
        <v>-8340</v>
      </c>
      <c r="I15" s="50">
        <v>-762</v>
      </c>
      <c r="J15" s="50">
        <v>-606</v>
      </c>
      <c r="K15" s="50">
        <v>-4440</v>
      </c>
      <c r="L15" s="8">
        <v>0</v>
      </c>
      <c r="M15" s="50">
        <v>-3584</v>
      </c>
      <c r="N15" s="50">
        <v>-12127</v>
      </c>
    </row>
    <row r="16" spans="2:17" x14ac:dyDescent="0.35">
      <c r="B16" s="8" t="s">
        <v>98</v>
      </c>
      <c r="C16" s="8">
        <v>93</v>
      </c>
      <c r="D16" s="8">
        <v>70</v>
      </c>
      <c r="E16" s="8">
        <v>0</v>
      </c>
      <c r="F16" s="50">
        <v>2490</v>
      </c>
      <c r="G16" s="50">
        <v>8120</v>
      </c>
      <c r="H16" s="50">
        <v>8591</v>
      </c>
      <c r="I16" s="8">
        <v>847</v>
      </c>
      <c r="J16" s="8">
        <v>612</v>
      </c>
      <c r="K16" s="50">
        <v>4153</v>
      </c>
      <c r="L16" s="50">
        <v>5</v>
      </c>
      <c r="M16" s="50">
        <v>3635</v>
      </c>
      <c r="N16" s="50">
        <v>6274</v>
      </c>
    </row>
    <row r="17" spans="2:14" x14ac:dyDescent="0.35">
      <c r="B17" s="8" t="s">
        <v>99</v>
      </c>
      <c r="C17" s="8">
        <v>34</v>
      </c>
      <c r="D17" s="8">
        <v>26</v>
      </c>
      <c r="E17" s="8">
        <v>41</v>
      </c>
      <c r="F17" s="8">
        <v>98</v>
      </c>
      <c r="G17" s="8">
        <v>121</v>
      </c>
      <c r="H17" s="8">
        <v>158</v>
      </c>
      <c r="I17" s="50">
        <v>503</v>
      </c>
      <c r="J17" s="8">
        <v>619</v>
      </c>
      <c r="K17" s="8">
        <v>591</v>
      </c>
      <c r="L17" s="8">
        <v>600</v>
      </c>
      <c r="M17" s="50">
        <v>899</v>
      </c>
      <c r="N17" s="50">
        <v>660</v>
      </c>
    </row>
    <row r="18" spans="2:14" x14ac:dyDescent="0.35">
      <c r="B18" s="8" t="s">
        <v>100</v>
      </c>
      <c r="C18" s="8">
        <v>22</v>
      </c>
      <c r="D18" s="8">
        <v>21</v>
      </c>
      <c r="E18" s="8">
        <v>20</v>
      </c>
      <c r="F18" s="8">
        <v>20</v>
      </c>
      <c r="G18" s="50">
        <v>5</v>
      </c>
      <c r="H18" s="8">
        <v>0</v>
      </c>
      <c r="I18" s="8">
        <v>10</v>
      </c>
      <c r="J18" s="8">
        <v>11</v>
      </c>
      <c r="K18" s="8">
        <v>25</v>
      </c>
      <c r="L18" s="8">
        <v>21</v>
      </c>
      <c r="M18" s="8">
        <v>21</v>
      </c>
      <c r="N18" s="8">
        <v>24</v>
      </c>
    </row>
    <row r="19" spans="2:14" x14ac:dyDescent="0.35">
      <c r="B19" s="8" t="s">
        <v>101</v>
      </c>
      <c r="C19" s="8">
        <v>-1</v>
      </c>
      <c r="D19" s="8">
        <v>-40</v>
      </c>
      <c r="E19" s="8">
        <v>-9</v>
      </c>
      <c r="F19" s="8">
        <v>-37</v>
      </c>
      <c r="G19" s="8">
        <v>-46</v>
      </c>
      <c r="H19" s="8">
        <v>-413</v>
      </c>
      <c r="I19" s="8">
        <v>0</v>
      </c>
      <c r="J19" s="50">
        <v>-5087</v>
      </c>
      <c r="K19" s="8">
        <v>-364</v>
      </c>
      <c r="L19" s="8">
        <v>-244</v>
      </c>
      <c r="M19" s="8">
        <v>-396</v>
      </c>
      <c r="N19" s="50">
        <v>-1880</v>
      </c>
    </row>
    <row r="20" spans="2:14" x14ac:dyDescent="0.35">
      <c r="B20" s="8" t="s">
        <v>102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164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</row>
    <row r="21" spans="2:14" x14ac:dyDescent="0.35">
      <c r="B21" s="8" t="s">
        <v>103</v>
      </c>
      <c r="C21" s="8">
        <v>0</v>
      </c>
      <c r="D21" s="8">
        <v>0</v>
      </c>
      <c r="E21" s="8">
        <v>0</v>
      </c>
      <c r="F21" s="8">
        <v>-110</v>
      </c>
      <c r="G21" s="8">
        <v>-315</v>
      </c>
      <c r="H21" s="50">
        <v>-1014</v>
      </c>
      <c r="I21" s="8">
        <v>-64</v>
      </c>
      <c r="J21" s="50">
        <v>-1575</v>
      </c>
      <c r="K21" s="8">
        <v>-20</v>
      </c>
      <c r="L21" s="8">
        <v>0</v>
      </c>
      <c r="M21" s="8">
        <v>-630</v>
      </c>
      <c r="N21" s="8">
        <v>0</v>
      </c>
    </row>
    <row r="22" spans="2:14" x14ac:dyDescent="0.35">
      <c r="B22" s="8" t="s">
        <v>104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-293</v>
      </c>
      <c r="K22" s="8">
        <v>-149</v>
      </c>
      <c r="L22" s="8">
        <v>0</v>
      </c>
      <c r="M22" s="8">
        <v>0</v>
      </c>
      <c r="N22" s="8">
        <v>0</v>
      </c>
    </row>
    <row r="23" spans="2:14" x14ac:dyDescent="0.35">
      <c r="B23" s="8" t="s">
        <v>105</v>
      </c>
      <c r="C23" s="50">
        <v>53</v>
      </c>
      <c r="D23" s="8">
        <v>-936</v>
      </c>
      <c r="E23" s="50">
        <v>1252</v>
      </c>
      <c r="F23" s="50">
        <v>-381</v>
      </c>
      <c r="G23" s="50">
        <v>373</v>
      </c>
      <c r="H23" s="50">
        <v>-207</v>
      </c>
      <c r="I23" s="50">
        <v>-7520</v>
      </c>
      <c r="J23" s="50">
        <v>7824</v>
      </c>
      <c r="K23" s="50">
        <v>-4496</v>
      </c>
      <c r="L23" s="50">
        <v>3637</v>
      </c>
      <c r="M23" s="50">
        <v>1135</v>
      </c>
      <c r="N23" s="50">
        <v>2687</v>
      </c>
    </row>
    <row r="24" spans="2:14" x14ac:dyDescent="0.35">
      <c r="B24" s="11" t="s">
        <v>116</v>
      </c>
      <c r="C24" s="49">
        <v>3300</v>
      </c>
      <c r="D24" s="49">
        <v>-169</v>
      </c>
      <c r="E24" s="49">
        <v>-3151</v>
      </c>
      <c r="F24" s="49">
        <v>-2710</v>
      </c>
      <c r="G24" s="49">
        <v>-8185</v>
      </c>
      <c r="H24" s="49">
        <v>1753</v>
      </c>
      <c r="I24" s="49">
        <v>5189</v>
      </c>
      <c r="J24" s="49">
        <v>-3110</v>
      </c>
      <c r="K24" s="49">
        <v>-14657</v>
      </c>
      <c r="L24" s="49">
        <v>-5977</v>
      </c>
      <c r="M24" s="49">
        <v>-5005</v>
      </c>
      <c r="N24" s="49">
        <v>-262</v>
      </c>
    </row>
    <row r="25" spans="2:14" x14ac:dyDescent="0.35">
      <c r="B25" s="8" t="s">
        <v>106</v>
      </c>
      <c r="C25" s="8">
        <v>0</v>
      </c>
      <c r="D25" s="8">
        <v>0</v>
      </c>
      <c r="E25" s="50">
        <v>0</v>
      </c>
      <c r="F25" s="8">
        <v>57</v>
      </c>
      <c r="G25" s="8">
        <v>49</v>
      </c>
      <c r="H25" s="8">
        <v>0</v>
      </c>
      <c r="I25" s="50">
        <v>107</v>
      </c>
      <c r="J25" s="50">
        <v>39</v>
      </c>
      <c r="K25" s="8">
        <v>72</v>
      </c>
      <c r="L25" s="8">
        <v>59</v>
      </c>
      <c r="M25" s="8">
        <v>6</v>
      </c>
      <c r="N25" s="8">
        <v>0</v>
      </c>
    </row>
    <row r="26" spans="2:14" x14ac:dyDescent="0.35">
      <c r="B26" s="8" t="s">
        <v>107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-572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</row>
    <row r="27" spans="2:14" x14ac:dyDescent="0.35">
      <c r="B27" s="8" t="s">
        <v>108</v>
      </c>
      <c r="C27" s="50">
        <v>11271</v>
      </c>
      <c r="D27" s="50">
        <v>10216</v>
      </c>
      <c r="E27" s="50">
        <v>1197</v>
      </c>
      <c r="F27" s="50">
        <v>7101</v>
      </c>
      <c r="G27" s="50">
        <v>6209</v>
      </c>
      <c r="H27" s="50">
        <v>13154</v>
      </c>
      <c r="I27" s="50">
        <v>22754</v>
      </c>
      <c r="J27" s="50">
        <v>15897</v>
      </c>
      <c r="K27" s="50">
        <v>17043</v>
      </c>
      <c r="L27" s="50">
        <v>19742</v>
      </c>
      <c r="M27" s="50">
        <v>20858</v>
      </c>
      <c r="N27" s="50">
        <v>28243</v>
      </c>
    </row>
    <row r="28" spans="2:14" x14ac:dyDescent="0.35">
      <c r="B28" s="8" t="s">
        <v>109</v>
      </c>
      <c r="C28" s="50">
        <v>-5242</v>
      </c>
      <c r="D28" s="50">
        <v>-7479</v>
      </c>
      <c r="E28" s="50">
        <v>0</v>
      </c>
      <c r="F28" s="50">
        <v>-5890</v>
      </c>
      <c r="G28" s="50">
        <v>-10001</v>
      </c>
      <c r="H28" s="50">
        <v>-6273</v>
      </c>
      <c r="I28" s="50">
        <v>-11107</v>
      </c>
      <c r="J28" s="50">
        <v>-13888</v>
      </c>
      <c r="K28" s="50">
        <v>-24091</v>
      </c>
      <c r="L28" s="50">
        <v>-14158</v>
      </c>
      <c r="M28" s="50">
        <v>-16328</v>
      </c>
      <c r="N28" s="50">
        <v>-18758</v>
      </c>
    </row>
    <row r="29" spans="2:14" x14ac:dyDescent="0.35">
      <c r="B29" s="8" t="s">
        <v>110</v>
      </c>
      <c r="C29" s="50">
        <v>-2413</v>
      </c>
      <c r="D29" s="50">
        <v>-2563</v>
      </c>
      <c r="E29" s="50">
        <v>-3125</v>
      </c>
      <c r="F29" s="50">
        <v>-3569</v>
      </c>
      <c r="G29" s="50">
        <v>-3511</v>
      </c>
      <c r="H29" s="50">
        <v>-3815</v>
      </c>
      <c r="I29" s="50">
        <v>-4520</v>
      </c>
      <c r="J29" s="50">
        <v>-4340</v>
      </c>
      <c r="K29" s="50">
        <v>-5102</v>
      </c>
      <c r="L29" s="50">
        <v>-6902</v>
      </c>
      <c r="M29" s="50">
        <v>-8087</v>
      </c>
      <c r="N29" s="50">
        <v>-8835</v>
      </c>
    </row>
    <row r="30" spans="2:14" x14ac:dyDescent="0.35">
      <c r="B30" s="8" t="s">
        <v>111</v>
      </c>
      <c r="C30" s="8">
        <v>-315</v>
      </c>
      <c r="D30" s="8">
        <v>-344</v>
      </c>
      <c r="E30" s="8">
        <v>-320</v>
      </c>
      <c r="F30" s="8">
        <v>-218</v>
      </c>
      <c r="G30" s="8">
        <v>-655</v>
      </c>
      <c r="H30" s="8">
        <v>-933</v>
      </c>
      <c r="I30" s="50">
        <v>-1195</v>
      </c>
      <c r="J30" s="8">
        <v>-483</v>
      </c>
      <c r="K30" s="50">
        <v>-1571</v>
      </c>
      <c r="L30" s="50">
        <v>-4194</v>
      </c>
      <c r="M30" s="50">
        <v>-822</v>
      </c>
      <c r="N30" s="50">
        <v>-1785</v>
      </c>
    </row>
    <row r="31" spans="2:14" x14ac:dyDescent="0.35">
      <c r="B31" s="8" t="s">
        <v>112</v>
      </c>
      <c r="C31" s="8">
        <v>0</v>
      </c>
      <c r="D31" s="8">
        <v>0</v>
      </c>
      <c r="E31" s="8">
        <v>-187</v>
      </c>
      <c r="F31" s="8">
        <v>-186</v>
      </c>
      <c r="G31" s="8">
        <v>-200</v>
      </c>
      <c r="H31" s="8">
        <v>-227</v>
      </c>
      <c r="I31" s="50">
        <v>-177</v>
      </c>
      <c r="J31" s="50">
        <v>-335</v>
      </c>
      <c r="K31" s="50">
        <v>-417</v>
      </c>
      <c r="L31" s="50">
        <v>-524</v>
      </c>
      <c r="M31" s="50">
        <v>-632</v>
      </c>
      <c r="N31" s="50">
        <v>-738</v>
      </c>
    </row>
    <row r="32" spans="2:14" x14ac:dyDescent="0.35">
      <c r="B32" s="8" t="s">
        <v>113</v>
      </c>
      <c r="C32" s="8">
        <v>0</v>
      </c>
      <c r="D32" s="8">
        <v>0</v>
      </c>
      <c r="E32" s="8">
        <v>-715</v>
      </c>
      <c r="F32" s="8">
        <v>-5</v>
      </c>
      <c r="G32" s="8">
        <v>-76</v>
      </c>
      <c r="H32" s="8">
        <v>-153</v>
      </c>
      <c r="I32" s="8">
        <v>-101</v>
      </c>
      <c r="J32" s="8">
        <v>0</v>
      </c>
      <c r="K32" s="50">
        <v>-591</v>
      </c>
      <c r="L32" s="50">
        <v>0</v>
      </c>
      <c r="M32" s="50">
        <v>0</v>
      </c>
      <c r="N32" s="50">
        <v>1611</v>
      </c>
    </row>
    <row r="33" spans="2:14" x14ac:dyDescent="0.35">
      <c r="B33" s="11" t="s">
        <v>50</v>
      </c>
      <c r="C33" s="49">
        <v>276</v>
      </c>
      <c r="D33" s="49">
        <v>334</v>
      </c>
      <c r="E33" s="49">
        <v>-111</v>
      </c>
      <c r="F33" s="49">
        <v>84</v>
      </c>
      <c r="G33" s="11">
        <v>-335</v>
      </c>
      <c r="H33" s="49">
        <v>4999</v>
      </c>
      <c r="I33" s="49">
        <v>-1615</v>
      </c>
      <c r="J33" s="49">
        <v>7977</v>
      </c>
      <c r="K33" s="49">
        <v>-3135</v>
      </c>
      <c r="L33" s="49">
        <v>6616</v>
      </c>
      <c r="M33" s="49">
        <v>-7394</v>
      </c>
      <c r="N33" s="49">
        <v>3640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2"/>
  <sheetViews>
    <sheetView workbookViewId="0">
      <selection activeCell="C12" sqref="C12"/>
    </sheetView>
  </sheetViews>
  <sheetFormatPr defaultRowHeight="14.5" x14ac:dyDescent="0.35"/>
  <cols>
    <col min="1" max="1" width="8.7265625" style="8"/>
    <col min="2" max="2" width="28.6328125" style="8" customWidth="1"/>
    <col min="3" max="16384" width="8.7265625" style="8"/>
  </cols>
  <sheetData>
    <row r="3" spans="2:14" ht="15" thickBot="1" x14ac:dyDescent="0.4">
      <c r="B3" s="47"/>
      <c r="C3" s="48">
        <v>41699</v>
      </c>
      <c r="D3" s="48">
        <v>42064</v>
      </c>
      <c r="E3" s="48">
        <v>42430</v>
      </c>
      <c r="F3" s="48">
        <v>42795</v>
      </c>
      <c r="G3" s="48">
        <v>43160</v>
      </c>
      <c r="H3" s="48">
        <v>43525</v>
      </c>
      <c r="I3" s="48">
        <v>43891</v>
      </c>
      <c r="J3" s="48">
        <v>44256</v>
      </c>
      <c r="K3" s="48">
        <v>44621</v>
      </c>
      <c r="L3" s="48">
        <v>44986</v>
      </c>
      <c r="M3" s="48">
        <v>45352</v>
      </c>
      <c r="N3" s="48">
        <v>45717</v>
      </c>
    </row>
    <row r="4" spans="2:14" x14ac:dyDescent="0.35">
      <c r="B4" s="8" t="s">
        <v>165</v>
      </c>
      <c r="C4" s="59">
        <v>303</v>
      </c>
      <c r="D4" s="59">
        <v>303</v>
      </c>
      <c r="E4" s="59">
        <v>301</v>
      </c>
      <c r="F4" s="59">
        <v>301</v>
      </c>
      <c r="G4" s="59">
        <v>302</v>
      </c>
      <c r="H4" s="59">
        <v>301</v>
      </c>
      <c r="I4" s="59">
        <v>301</v>
      </c>
      <c r="J4" s="59">
        <v>302</v>
      </c>
      <c r="K4" s="59">
        <v>301</v>
      </c>
      <c r="L4" s="59">
        <v>301</v>
      </c>
      <c r="M4" s="59">
        <v>305</v>
      </c>
      <c r="N4" s="59">
        <v>305</v>
      </c>
    </row>
    <row r="5" spans="2:14" x14ac:dyDescent="0.35">
      <c r="B5" s="8" t="s">
        <v>32</v>
      </c>
      <c r="C5" s="59">
        <v>20871</v>
      </c>
      <c r="D5" s="59">
        <v>21987</v>
      </c>
      <c r="E5" s="59">
        <v>18665</v>
      </c>
      <c r="F5" s="59">
        <v>22346</v>
      </c>
      <c r="G5" s="59">
        <v>27696</v>
      </c>
      <c r="H5" s="59">
        <v>34494</v>
      </c>
      <c r="I5" s="59">
        <v>36298</v>
      </c>
      <c r="J5" s="59">
        <v>46462</v>
      </c>
      <c r="K5" s="59">
        <v>66996</v>
      </c>
      <c r="L5" s="59">
        <v>65394</v>
      </c>
      <c r="M5" s="59">
        <v>77364</v>
      </c>
      <c r="N5" s="59">
        <v>79191</v>
      </c>
    </row>
    <row r="6" spans="2:14" x14ac:dyDescent="0.35">
      <c r="B6" s="8" t="s">
        <v>166</v>
      </c>
      <c r="C6" s="59">
        <v>35527</v>
      </c>
      <c r="D6" s="59">
        <v>38754</v>
      </c>
      <c r="E6" s="59">
        <v>42204</v>
      </c>
      <c r="F6" s="59">
        <v>43334</v>
      </c>
      <c r="G6" s="59">
        <v>39393</v>
      </c>
      <c r="H6" s="59">
        <v>47396</v>
      </c>
      <c r="I6" s="59">
        <v>61423</v>
      </c>
      <c r="J6" s="59">
        <v>62392</v>
      </c>
      <c r="K6" s="59">
        <v>72237</v>
      </c>
      <c r="L6" s="59">
        <v>80853</v>
      </c>
      <c r="M6" s="59">
        <v>87984</v>
      </c>
      <c r="N6" s="59">
        <v>98752</v>
      </c>
    </row>
    <row r="7" spans="2:14" x14ac:dyDescent="0.35">
      <c r="B7" s="11" t="s">
        <v>167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</row>
    <row r="8" spans="2:14" x14ac:dyDescent="0.35">
      <c r="B8" s="8" t="s">
        <v>168</v>
      </c>
      <c r="C8" s="59">
        <v>167</v>
      </c>
      <c r="D8" s="59">
        <v>98</v>
      </c>
      <c r="E8" s="59">
        <v>-195</v>
      </c>
      <c r="F8" s="59">
        <v>-246</v>
      </c>
      <c r="G8" s="59">
        <v>-464</v>
      </c>
      <c r="H8" s="59">
        <v>-450</v>
      </c>
      <c r="I8" s="59">
        <v>-575</v>
      </c>
      <c r="J8" s="59">
        <v>-619</v>
      </c>
      <c r="K8" s="59">
        <v>1238</v>
      </c>
      <c r="L8" s="59">
        <v>1344</v>
      </c>
      <c r="M8" s="59">
        <v>2107</v>
      </c>
      <c r="N8" s="59">
        <v>2170</v>
      </c>
    </row>
    <row r="9" spans="2:14" x14ac:dyDescent="0.35">
      <c r="B9" s="8" t="s">
        <v>169</v>
      </c>
      <c r="C9" s="59">
        <v>11699</v>
      </c>
      <c r="D9" s="59">
        <v>14253</v>
      </c>
      <c r="E9" s="59">
        <v>12758</v>
      </c>
      <c r="F9" s="59">
        <v>13348</v>
      </c>
      <c r="G9" s="59">
        <v>15944</v>
      </c>
      <c r="H9" s="59">
        <v>16159</v>
      </c>
      <c r="I9" s="59">
        <v>17918</v>
      </c>
      <c r="J9" s="59">
        <v>15243</v>
      </c>
      <c r="K9" s="59">
        <v>30889</v>
      </c>
      <c r="L9" s="59">
        <v>38203</v>
      </c>
      <c r="M9" s="59">
        <v>33365</v>
      </c>
      <c r="N9" s="59">
        <v>32552</v>
      </c>
    </row>
    <row r="10" spans="2:14" x14ac:dyDescent="0.35">
      <c r="B10" s="8" t="s">
        <v>170</v>
      </c>
      <c r="C10" s="59">
        <v>315</v>
      </c>
      <c r="D10" s="59">
        <v>513</v>
      </c>
      <c r="E10" s="59">
        <v>327</v>
      </c>
      <c r="F10" s="59">
        <v>377</v>
      </c>
      <c r="G10" s="59">
        <v>370</v>
      </c>
      <c r="H10" s="59">
        <v>1154</v>
      </c>
      <c r="I10" s="59">
        <v>1459</v>
      </c>
      <c r="J10" s="59">
        <v>1984</v>
      </c>
      <c r="K10" s="59">
        <v>2133</v>
      </c>
      <c r="L10" s="59">
        <v>2338</v>
      </c>
      <c r="M10" s="59">
        <v>1005</v>
      </c>
      <c r="N10" s="59"/>
    </row>
    <row r="11" spans="2:14" x14ac:dyDescent="0.35">
      <c r="B11" s="8" t="s">
        <v>171</v>
      </c>
      <c r="C11" s="59">
        <v>8758</v>
      </c>
      <c r="D11" s="59">
        <v>9747</v>
      </c>
      <c r="E11" s="59">
        <v>7848</v>
      </c>
      <c r="F11" s="59">
        <v>8545</v>
      </c>
      <c r="G11" s="59">
        <v>8729</v>
      </c>
      <c r="H11" s="59">
        <v>15743</v>
      </c>
      <c r="I11" s="59">
        <v>14996</v>
      </c>
      <c r="J11" s="59">
        <v>22553</v>
      </c>
      <c r="K11" s="59">
        <v>22691</v>
      </c>
      <c r="L11" s="59">
        <v>22106</v>
      </c>
      <c r="M11" s="59">
        <v>25768</v>
      </c>
      <c r="N11" s="59">
        <v>27772</v>
      </c>
    </row>
    <row r="12" spans="2:14" ht="15" thickBot="1" x14ac:dyDescent="0.4">
      <c r="B12" s="60" t="s">
        <v>172</v>
      </c>
      <c r="C12" s="61">
        <v>77640</v>
      </c>
      <c r="D12" s="61">
        <v>85654</v>
      </c>
      <c r="E12" s="61">
        <v>81907</v>
      </c>
      <c r="F12" s="61">
        <v>88005</v>
      </c>
      <c r="G12" s="61">
        <v>91970</v>
      </c>
      <c r="H12" s="61">
        <v>114797</v>
      </c>
      <c r="I12" s="61">
        <v>131820</v>
      </c>
      <c r="J12" s="61">
        <v>148317</v>
      </c>
      <c r="K12" s="61">
        <v>196485</v>
      </c>
      <c r="L12" s="61">
        <v>210539</v>
      </c>
      <c r="M12" s="61">
        <v>227898</v>
      </c>
      <c r="N12" s="61">
        <v>240742</v>
      </c>
    </row>
    <row r="13" spans="2:14" x14ac:dyDescent="0.35">
      <c r="B13" s="8" t="s">
        <v>173</v>
      </c>
      <c r="C13" s="59">
        <v>47046</v>
      </c>
      <c r="D13" s="59">
        <v>52176</v>
      </c>
      <c r="E13" s="59">
        <v>56140</v>
      </c>
      <c r="F13" s="59">
        <v>58730</v>
      </c>
      <c r="G13" s="59">
        <v>57848</v>
      </c>
      <c r="H13" s="59">
        <v>62644</v>
      </c>
      <c r="I13" s="59">
        <v>62085</v>
      </c>
      <c r="J13" s="59">
        <v>64917</v>
      </c>
      <c r="K13" s="59">
        <v>99880</v>
      </c>
      <c r="L13" s="59">
        <v>104452</v>
      </c>
      <c r="M13" s="59">
        <v>112461</v>
      </c>
      <c r="N13" s="59">
        <v>124995</v>
      </c>
    </row>
    <row r="14" spans="2:14" x14ac:dyDescent="0.35">
      <c r="B14" s="8" t="s">
        <v>174</v>
      </c>
      <c r="C14" s="59">
        <v>9400</v>
      </c>
      <c r="D14" s="59">
        <v>8265</v>
      </c>
      <c r="E14" s="59">
        <v>7271</v>
      </c>
      <c r="F14" s="59">
        <v>4363</v>
      </c>
      <c r="G14" s="59">
        <v>5950</v>
      </c>
      <c r="H14" s="59">
        <v>11889</v>
      </c>
      <c r="I14" s="59">
        <v>27191</v>
      </c>
      <c r="J14" s="59">
        <v>32566</v>
      </c>
      <c r="K14" s="59">
        <v>16905</v>
      </c>
      <c r="L14" s="59">
        <v>22166</v>
      </c>
      <c r="M14" s="59">
        <v>29676</v>
      </c>
      <c r="N14" s="59">
        <v>20478</v>
      </c>
    </row>
    <row r="15" spans="2:14" x14ac:dyDescent="0.35">
      <c r="B15" s="8" t="s">
        <v>38</v>
      </c>
      <c r="C15" s="59">
        <v>663</v>
      </c>
      <c r="D15" s="59">
        <v>599</v>
      </c>
      <c r="E15" s="59">
        <v>1195</v>
      </c>
      <c r="F15" s="59">
        <v>1366</v>
      </c>
      <c r="G15" s="59">
        <v>1469</v>
      </c>
      <c r="H15" s="59">
        <v>1894</v>
      </c>
      <c r="I15" s="59">
        <v>1259</v>
      </c>
      <c r="J15" s="59">
        <v>8581</v>
      </c>
      <c r="K15" s="59">
        <v>4940</v>
      </c>
      <c r="L15" s="59">
        <v>4806</v>
      </c>
      <c r="M15" s="59">
        <v>7246</v>
      </c>
      <c r="N15" s="59">
        <v>15217</v>
      </c>
    </row>
    <row r="16" spans="2:14" x14ac:dyDescent="0.35">
      <c r="B16" s="11" t="s">
        <v>175</v>
      </c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</row>
    <row r="17" spans="2:14" x14ac:dyDescent="0.35">
      <c r="B17" s="8" t="s">
        <v>176</v>
      </c>
      <c r="C17" s="59">
        <v>8155</v>
      </c>
      <c r="D17" s="59">
        <v>11009</v>
      </c>
      <c r="E17" s="59">
        <v>8321</v>
      </c>
      <c r="F17" s="59">
        <v>11395</v>
      </c>
      <c r="G17" s="59">
        <v>12594</v>
      </c>
      <c r="H17" s="59">
        <v>14548</v>
      </c>
      <c r="I17" s="59">
        <v>13773</v>
      </c>
      <c r="J17" s="59">
        <v>14249</v>
      </c>
      <c r="K17" s="59">
        <v>33787</v>
      </c>
      <c r="L17" s="59">
        <v>33135</v>
      </c>
      <c r="M17" s="59">
        <v>37815</v>
      </c>
      <c r="N17" s="59">
        <v>34956</v>
      </c>
    </row>
    <row r="18" spans="2:14" x14ac:dyDescent="0.35">
      <c r="B18" s="8" t="s">
        <v>177</v>
      </c>
      <c r="C18" s="59">
        <v>2292</v>
      </c>
      <c r="D18" s="59">
        <v>2500</v>
      </c>
      <c r="E18" s="59">
        <v>2727</v>
      </c>
      <c r="F18" s="59">
        <v>4149</v>
      </c>
      <c r="G18" s="59">
        <v>4704</v>
      </c>
      <c r="H18" s="59">
        <v>7160</v>
      </c>
      <c r="I18" s="59">
        <v>4505</v>
      </c>
      <c r="J18" s="59">
        <v>4486</v>
      </c>
      <c r="K18" s="59">
        <v>7457</v>
      </c>
      <c r="L18" s="59">
        <v>7134</v>
      </c>
      <c r="M18" s="59">
        <v>7548</v>
      </c>
      <c r="N18" s="59">
        <v>8415</v>
      </c>
    </row>
    <row r="19" spans="2:14" x14ac:dyDescent="0.35">
      <c r="B19" s="8" t="s">
        <v>178</v>
      </c>
      <c r="C19" s="59">
        <v>663</v>
      </c>
      <c r="D19" s="59">
        <v>1913</v>
      </c>
      <c r="E19" s="59">
        <v>1020</v>
      </c>
      <c r="F19" s="59">
        <v>1485</v>
      </c>
      <c r="G19" s="59">
        <v>1063</v>
      </c>
      <c r="H19" s="59">
        <v>6187</v>
      </c>
      <c r="I19" s="59">
        <v>12003</v>
      </c>
      <c r="J19" s="59">
        <v>12813</v>
      </c>
      <c r="K19" s="59">
        <v>17383</v>
      </c>
      <c r="L19" s="59">
        <v>20714</v>
      </c>
      <c r="M19" s="59">
        <v>12348</v>
      </c>
      <c r="N19" s="59">
        <v>13285</v>
      </c>
    </row>
    <row r="20" spans="2:14" x14ac:dyDescent="0.35">
      <c r="B20" s="8" t="s">
        <v>179</v>
      </c>
      <c r="C20" s="59">
        <v>2373</v>
      </c>
      <c r="D20" s="59">
        <v>1371</v>
      </c>
      <c r="E20" s="59">
        <v>666</v>
      </c>
      <c r="F20" s="59">
        <v>995</v>
      </c>
      <c r="G20" s="59">
        <v>1212</v>
      </c>
      <c r="H20" s="59">
        <v>1276</v>
      </c>
      <c r="I20" s="59">
        <v>1562</v>
      </c>
      <c r="J20" s="59">
        <v>1267</v>
      </c>
      <c r="K20" s="59">
        <v>2227</v>
      </c>
      <c r="L20" s="59">
        <v>3179</v>
      </c>
      <c r="M20" s="59">
        <v>1877</v>
      </c>
      <c r="N20" s="59">
        <v>7087</v>
      </c>
    </row>
    <row r="21" spans="2:14" x14ac:dyDescent="0.35">
      <c r="B21" s="8" t="s">
        <v>180</v>
      </c>
      <c r="C21" s="59">
        <v>7048</v>
      </c>
      <c r="D21" s="59">
        <v>7820</v>
      </c>
      <c r="E21" s="59">
        <v>4567</v>
      </c>
      <c r="F21" s="59">
        <v>5522</v>
      </c>
      <c r="G21" s="59">
        <v>7130</v>
      </c>
      <c r="H21" s="59">
        <v>9199</v>
      </c>
      <c r="I21" s="59">
        <v>9442</v>
      </c>
      <c r="J21" s="59">
        <v>9438</v>
      </c>
      <c r="K21" s="59">
        <v>13906</v>
      </c>
      <c r="L21" s="59">
        <v>14953</v>
      </c>
      <c r="M21" s="59">
        <v>18927</v>
      </c>
      <c r="N21" s="59">
        <v>16309</v>
      </c>
    </row>
    <row r="22" spans="2:14" ht="15" thickBot="1" x14ac:dyDescent="0.4">
      <c r="B22" s="60" t="s">
        <v>83</v>
      </c>
      <c r="C22" s="61">
        <v>77640</v>
      </c>
      <c r="D22" s="61">
        <v>85654</v>
      </c>
      <c r="E22" s="61">
        <v>81907</v>
      </c>
      <c r="F22" s="61">
        <v>88005</v>
      </c>
      <c r="G22" s="61">
        <v>91970</v>
      </c>
      <c r="H22" s="61">
        <v>114797</v>
      </c>
      <c r="I22" s="61">
        <v>131820</v>
      </c>
      <c r="J22" s="61">
        <v>148317</v>
      </c>
      <c r="K22" s="61">
        <v>196485</v>
      </c>
      <c r="L22" s="61">
        <v>210539</v>
      </c>
      <c r="M22" s="61">
        <v>227898</v>
      </c>
      <c r="N22" s="61">
        <v>240742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JSW steel Overview</vt:lpstr>
      <vt:lpstr>DCF</vt:lpstr>
      <vt:lpstr>WACC</vt:lpstr>
      <vt:lpstr>Financials -&gt;</vt:lpstr>
      <vt:lpstr>HistoricalFS</vt:lpstr>
      <vt:lpstr>Ratio analysis</vt:lpstr>
      <vt:lpstr>Growth</vt:lpstr>
      <vt:lpstr>Forecasting</vt:lpstr>
      <vt:lpstr>WACC Calculation -&gt;</vt:lpstr>
      <vt:lpstr>peers Levered Beta - regression</vt:lpstr>
      <vt:lpstr>Other WACC inputs</vt:lpstr>
      <vt:lpstr>Data -&gt;</vt:lpstr>
      <vt:lpstr>Data Sheet</vt:lpstr>
      <vt:lpstr>Cash Flow Data</vt:lpstr>
      <vt:lpstr>BS data</vt:lpstr>
      <vt:lpstr>tgr</vt:lpstr>
      <vt:lpstr>UPDATE</vt:lpstr>
      <vt:lpstr>wacc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Anvekar</dc:creator>
  <cp:lastModifiedBy>Harsh Anvekar</cp:lastModifiedBy>
  <cp:lastPrinted>2025-12-16T16:43:28Z</cp:lastPrinted>
  <dcterms:created xsi:type="dcterms:W3CDTF">2025-05-25T05:33:31Z</dcterms:created>
  <dcterms:modified xsi:type="dcterms:W3CDTF">2025-12-16T16:43:38Z</dcterms:modified>
</cp:coreProperties>
</file>