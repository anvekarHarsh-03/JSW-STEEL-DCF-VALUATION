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CF Valuations\JSW steel (june 2025)\"/>
    </mc:Choice>
  </mc:AlternateContent>
  <bookViews>
    <workbookView xWindow="0" yWindow="0" windowWidth="19200" windowHeight="7310"/>
  </bookViews>
  <sheets>
    <sheet name="WACC" sheetId="1" r:id="rId1"/>
    <sheet name="peers Levered Beta - regression" sheetId="2" r:id="rId2"/>
    <sheet name="WACC input dat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30" i="1" s="1"/>
  <c r="C30" i="1"/>
  <c r="C29" i="1"/>
  <c r="E23" i="1"/>
  <c r="E22" i="1"/>
  <c r="J23" i="1"/>
  <c r="J22" i="1"/>
  <c r="C10" i="3"/>
  <c r="I11" i="1"/>
  <c r="I12" i="1"/>
  <c r="I13" i="1"/>
  <c r="I14" i="1"/>
  <c r="I10" i="1"/>
  <c r="E9" i="2"/>
  <c r="E8" i="2"/>
  <c r="E7" i="2"/>
  <c r="E6" i="2"/>
  <c r="E5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4" i="2"/>
  <c r="E38" i="1" l="1"/>
  <c r="E37" i="1"/>
  <c r="J31" i="1"/>
  <c r="E33" i="1"/>
  <c r="J30" i="1" s="1"/>
  <c r="C31" i="1"/>
  <c r="D29" i="1" s="1"/>
  <c r="E24" i="1"/>
  <c r="D37" i="1" s="1"/>
  <c r="I17" i="1"/>
  <c r="I16" i="1"/>
  <c r="F17" i="1"/>
  <c r="F16" i="1"/>
  <c r="H11" i="1"/>
  <c r="H12" i="1"/>
  <c r="H13" i="1"/>
  <c r="H14" i="1"/>
  <c r="H10" i="1"/>
  <c r="G11" i="1"/>
  <c r="J11" i="1" s="1"/>
  <c r="G12" i="1"/>
  <c r="J12" i="1" s="1"/>
  <c r="G13" i="1"/>
  <c r="J13" i="1" s="1"/>
  <c r="G14" i="1"/>
  <c r="J14" i="1" s="1"/>
  <c r="G10" i="1"/>
  <c r="D30" i="1" l="1"/>
  <c r="D31" i="1" s="1"/>
  <c r="H17" i="1"/>
  <c r="G16" i="1"/>
  <c r="J10" i="1"/>
  <c r="J16" i="1" s="1"/>
  <c r="H16" i="1"/>
  <c r="G17" i="1"/>
  <c r="D33" i="1" l="1"/>
  <c r="J17" i="1"/>
  <c r="J29" i="1" s="1"/>
  <c r="J32" i="1" s="1"/>
  <c r="J24" i="1" s="1"/>
  <c r="J25" i="1" s="1"/>
  <c r="D38" i="1" s="1"/>
  <c r="E39" i="1" s="1"/>
</calcChain>
</file>

<file path=xl/sharedStrings.xml><?xml version="1.0" encoding="utf-8"?>
<sst xmlns="http://schemas.openxmlformats.org/spreadsheetml/2006/main" count="209" uniqueCount="182">
  <si>
    <t>Weighted Average Cost of Capital</t>
  </si>
  <si>
    <t>All figures are in INR unless stated otherwise</t>
  </si>
  <si>
    <t>Peer Comps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</si>
  <si>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</si>
  <si>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</si>
  <si>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</si>
  <si>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</si>
  <si>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</si>
  <si>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 xml:space="preserve">Debt / </t>
  </si>
  <si>
    <t>Equity</t>
  </si>
  <si>
    <t xml:space="preserve">Capital </t>
  </si>
  <si>
    <t xml:space="preserve">Unlevered 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</si>
  <si>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</si>
  <si>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 xml:space="preserve">Levered 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</si>
  <si>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</si>
  <si>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</si>
  <si>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</si>
  <si>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</si>
  <si>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</si>
  <si>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Pre tax cost of Debt</t>
  </si>
  <si>
    <t>tax Rate</t>
  </si>
  <si>
    <t>Post Tax cost of Debt</t>
  </si>
  <si>
    <t>Cost of Equity</t>
  </si>
  <si>
    <t>Risk-Free Rate</t>
  </si>
  <si>
    <t>Market Risk Premium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</si>
  <si>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</si>
  <si>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equity</t>
  </si>
  <si>
    <t>Capital structure</t>
  </si>
  <si>
    <t>Current</t>
  </si>
  <si>
    <t>Target</t>
  </si>
  <si>
    <t>Market Capitalization</t>
  </si>
  <si>
    <t xml:space="preserve">Total Capital </t>
  </si>
  <si>
    <t>Levered Beta</t>
  </si>
  <si>
    <t>comps Median Unlevered Beta</t>
  </si>
  <si>
    <t>Target Debt/Equity</t>
  </si>
  <si>
    <t>Tax rate</t>
  </si>
  <si>
    <t xml:space="preserve">Debt / Equity </t>
  </si>
  <si>
    <t>Debt</t>
  </si>
  <si>
    <t>Total cost</t>
  </si>
  <si>
    <t>Total Weight</t>
  </si>
  <si>
    <t xml:space="preserve">Weighted average Cost of Capital </t>
  </si>
  <si>
    <t>Notes</t>
  </si>
  <si>
    <t>1. Tax Rate Considered as Marginal Tax Rate of the country</t>
  </si>
  <si>
    <t>3. Unlevered Beta = Levered Beta / (1+ (1- Tax rate ) * ( debt / Equity ))</t>
  </si>
  <si>
    <t>4. Levered Beta = Unlevered Beta * (1+ (1- Tax rate ) * ( debt / Equity ))</t>
  </si>
  <si>
    <t>JSW Steel</t>
  </si>
  <si>
    <t>Tata Steel</t>
  </si>
  <si>
    <t>Jindal Steel</t>
  </si>
  <si>
    <t>S A I L</t>
  </si>
  <si>
    <t>Sarda Energy</t>
  </si>
  <si>
    <t>Peers Levered Beta - Regression</t>
  </si>
  <si>
    <t>Peer Name</t>
  </si>
  <si>
    <t>15-06-2025</t>
  </si>
  <si>
    <t>25-05-2025</t>
  </si>
  <si>
    <t>18-05-2025</t>
  </si>
  <si>
    <t>27-04-2025</t>
  </si>
  <si>
    <t>20-04-2025</t>
  </si>
  <si>
    <t>13-04-2025</t>
  </si>
  <si>
    <t>30-03-2025</t>
  </si>
  <si>
    <t>23-03-2025</t>
  </si>
  <si>
    <t>16-03-2025</t>
  </si>
  <si>
    <t>23-02-2025</t>
  </si>
  <si>
    <t>16-02-2025</t>
  </si>
  <si>
    <t>26-01-2025</t>
  </si>
  <si>
    <t>19-01-2025</t>
  </si>
  <si>
    <t>29-12-2024</t>
  </si>
  <si>
    <t>22-12-2024</t>
  </si>
  <si>
    <t>15-12-2024</t>
  </si>
  <si>
    <t>24-11-2024</t>
  </si>
  <si>
    <t>17-11-2024</t>
  </si>
  <si>
    <t>27-10-2024</t>
  </si>
  <si>
    <t>20-10-2024</t>
  </si>
  <si>
    <t>13-10-2024</t>
  </si>
  <si>
    <t>29-09-2024</t>
  </si>
  <si>
    <t>22-09-2024</t>
  </si>
  <si>
    <t>15-09-2024</t>
  </si>
  <si>
    <t>25-08-2024</t>
  </si>
  <si>
    <t>18-08-2024</t>
  </si>
  <si>
    <t>28-07-2024</t>
  </si>
  <si>
    <t>21-07-2024</t>
  </si>
  <si>
    <t>14-07-2024</t>
  </si>
  <si>
    <t>30-06-2024</t>
  </si>
  <si>
    <t>23-06-2024</t>
  </si>
  <si>
    <t>16-06-2024</t>
  </si>
  <si>
    <t>26-05-2024</t>
  </si>
  <si>
    <t>19-05-2024</t>
  </si>
  <si>
    <t>28-04-2024</t>
  </si>
  <si>
    <t>21-04-2024</t>
  </si>
  <si>
    <t>14-04-2024</t>
  </si>
  <si>
    <t>31-03-2024</t>
  </si>
  <si>
    <t>24-03-2024</t>
  </si>
  <si>
    <t>17-03-2024</t>
  </si>
  <si>
    <t>25-02-2024</t>
  </si>
  <si>
    <t>18-02-2024</t>
  </si>
  <si>
    <t>28-01-2024</t>
  </si>
  <si>
    <t>21-01-2024</t>
  </si>
  <si>
    <t>14-01-2024</t>
  </si>
  <si>
    <t>31-12-2023</t>
  </si>
  <si>
    <t>24-12-2023</t>
  </si>
  <si>
    <t>17-12-2023</t>
  </si>
  <si>
    <t>26-11-2023</t>
  </si>
  <si>
    <t>19-11-2023</t>
  </si>
  <si>
    <t>29-10-2023</t>
  </si>
  <si>
    <t>22-10-2023</t>
  </si>
  <si>
    <t>15-10-2023</t>
  </si>
  <si>
    <t>24-09-2023</t>
  </si>
  <si>
    <t>17-09-2023</t>
  </si>
  <si>
    <t>27-08-2023</t>
  </si>
  <si>
    <t>20-08-2023</t>
  </si>
  <si>
    <t>13-08-2023</t>
  </si>
  <si>
    <t>30-07-2023</t>
  </si>
  <si>
    <t>23-07-2023</t>
  </si>
  <si>
    <t>16-07-2023</t>
  </si>
  <si>
    <t>25-06-2023</t>
  </si>
  <si>
    <t>18-06-2023</t>
  </si>
  <si>
    <t>28-05-2023</t>
  </si>
  <si>
    <t>21-05-2023</t>
  </si>
  <si>
    <t>14-05-2023</t>
  </si>
  <si>
    <t>30-04-2023</t>
  </si>
  <si>
    <t>23-04-2023</t>
  </si>
  <si>
    <t>16-04-2023</t>
  </si>
  <si>
    <t>26-03-2023</t>
  </si>
  <si>
    <t>19-03-2023</t>
  </si>
  <si>
    <t>26-02-2023</t>
  </si>
  <si>
    <t>19-02-2023</t>
  </si>
  <si>
    <t>29-01-2023</t>
  </si>
  <si>
    <t>22-01-2023</t>
  </si>
  <si>
    <t>15-01-2023</t>
  </si>
  <si>
    <t>25-12-2022</t>
  </si>
  <si>
    <t>18-12-2022</t>
  </si>
  <si>
    <t>27-11-2022</t>
  </si>
  <si>
    <t>20-11-2022</t>
  </si>
  <si>
    <t>13-11-2022</t>
  </si>
  <si>
    <t>30-10-2022</t>
  </si>
  <si>
    <t>23-10-2022</t>
  </si>
  <si>
    <t>16-10-2022</t>
  </si>
  <si>
    <t>25-09-2022</t>
  </si>
  <si>
    <t>18-09-2022</t>
  </si>
  <si>
    <t>28-08-2022</t>
  </si>
  <si>
    <t>21-08-2022</t>
  </si>
  <si>
    <t>14-08-2022</t>
  </si>
  <si>
    <t>31-07-2022</t>
  </si>
  <si>
    <t>24-07-2022</t>
  </si>
  <si>
    <t>17-07-2022</t>
  </si>
  <si>
    <t>26-06-2022</t>
  </si>
  <si>
    <t>19-06-2022</t>
  </si>
  <si>
    <t>29-05-2022</t>
  </si>
  <si>
    <t>22-05-2022</t>
  </si>
  <si>
    <t>15-05-2022</t>
  </si>
  <si>
    <t>24-04-2022</t>
  </si>
  <si>
    <t>17-04-2022</t>
  </si>
  <si>
    <t>27-03-2022</t>
  </si>
  <si>
    <t>20-03-2022</t>
  </si>
  <si>
    <t>13-03-2022</t>
  </si>
  <si>
    <t>27-02-2022</t>
  </si>
  <si>
    <t>20-02-2022</t>
  </si>
  <si>
    <t>13-02-2022</t>
  </si>
  <si>
    <t>30-01-2022</t>
  </si>
  <si>
    <t>23-01-2022</t>
  </si>
  <si>
    <t>16-01-2022</t>
  </si>
  <si>
    <t>Date</t>
  </si>
  <si>
    <t xml:space="preserve">Price </t>
  </si>
  <si>
    <t>Growth</t>
  </si>
  <si>
    <t>Nifty</t>
  </si>
  <si>
    <t>JSTL</t>
  </si>
  <si>
    <t>TISC</t>
  </si>
  <si>
    <t>JNSP</t>
  </si>
  <si>
    <t>SAIL</t>
  </si>
  <si>
    <t>SAEM</t>
  </si>
  <si>
    <t>Weekly Three Year data used for Regression</t>
  </si>
  <si>
    <t>Other Input Calculations</t>
  </si>
  <si>
    <t>Cost of equity Inputs</t>
  </si>
  <si>
    <t xml:space="preserve">10 Year Govt. bond Yeild ( India ) </t>
  </si>
  <si>
    <t>India country default spread</t>
  </si>
  <si>
    <t>Mature market Base premium ( US )</t>
  </si>
  <si>
    <t xml:space="preserve">Equity risk premium ( India) </t>
  </si>
  <si>
    <t>Cost of Debt Inputs</t>
  </si>
  <si>
    <t>Risk- free rate</t>
  </si>
  <si>
    <t>Country Risk Premium</t>
  </si>
  <si>
    <t xml:space="preserve">Company default spread </t>
  </si>
  <si>
    <t>2. Levered Beta is based on 3 year weekly data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</si>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</sst>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;\(#,##0.0\);\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2" borderId="0"/>
  </cellStyleXfs>
  <cellXfs count="72">
    <xf numFmtId="0" fontId="0" fillId="0" borderId="0" xfId="0"/>
    <xf numFmtId="0" fontId="0" fillId="2" borderId="0" xfId="0" applyFill="1"/>
    <xf numFmtId="9" fontId="0" fillId="2" borderId="0" xfId="1" applyFont="1" applyFill="1"/>
    <xf numFmtId="0" fontId="2" fillId="3" borderId="0" xfId="0" applyFont="1" applyFill="1"/>
    <xf numFmtId="0" fontId="3" fillId="3" borderId="0" xfId="0" applyFont="1" applyFill="1"/>
    <xf numFmtId="0" fontId="4" fillId="2" borderId="0" xfId="0" applyFont="1" applyFill="1"/>
    <xf numFmtId="0" fontId="0" fillId="2" borderId="1" xfId="0" applyFill="1" applyBorder="1"/>
    <xf numFmtId="0" fontId="0" fillId="2" borderId="2" xfId="0" applyFill="1" applyBorder="1"/>
    <xf numFmtId="10" fontId="0" fillId="2" borderId="0" xfId="0" applyNumberFormat="1" applyFill="1"/>
    <xf numFmtId="0" fontId="6" fillId="2" borderId="0" xfId="0" applyFont="1" applyFill="1"/>
    <xf numFmtId="10" fontId="6" fillId="2" borderId="0" xfId="0" applyNumberFormat="1" applyFont="1" applyFill="1"/>
    <xf numFmtId="10" fontId="0" fillId="2" borderId="0" xfId="1" applyNumberFormat="1" applyFont="1" applyFill="1"/>
    <xf numFmtId="2" fontId="0" fillId="2" borderId="0" xfId="0" applyNumberFormat="1" applyFill="1"/>
    <xf numFmtId="2" fontId="6" fillId="2" borderId="0" xfId="0" applyNumberFormat="1" applyFont="1" applyFill="1"/>
    <xf numFmtId="10" fontId="0" fillId="4" borderId="0" xfId="1" applyNumberFormat="1" applyFont="1" applyFill="1"/>
    <xf numFmtId="2" fontId="0" fillId="4" borderId="0" xfId="0" applyNumberFormat="1" applyFill="1"/>
    <xf numFmtId="0" fontId="2" fillId="2" borderId="3" xfId="0" applyFont="1" applyFill="1" applyBorder="1"/>
    <xf numFmtId="10" fontId="0" fillId="2" borderId="3" xfId="0" applyNumberFormat="1" applyFill="1" applyBorder="1"/>
    <xf numFmtId="10" fontId="0" fillId="4" borderId="3" xfId="1" applyNumberFormat="1" applyFont="1" applyFill="1" applyBorder="1"/>
    <xf numFmtId="2" fontId="0" fillId="4" borderId="3" xfId="0" applyNumberFormat="1" applyFill="1" applyBorder="1"/>
    <xf numFmtId="0" fontId="2" fillId="2" borderId="5" xfId="0" applyFont="1" applyFill="1" applyBorder="1"/>
    <xf numFmtId="10" fontId="0" fillId="2" borderId="5" xfId="0" applyNumberFormat="1" applyFill="1" applyBorder="1"/>
    <xf numFmtId="10" fontId="0" fillId="4" borderId="5" xfId="1" applyNumberFormat="1" applyFont="1" applyFill="1" applyBorder="1"/>
    <xf numFmtId="2" fontId="0" fillId="4" borderId="5" xfId="0" applyNumberFormat="1" applyFill="1" applyBorder="1"/>
    <xf numFmtId="2" fontId="0" fillId="2" borderId="3" xfId="0" applyNumberFormat="1" applyFont="1" applyFill="1" applyBorder="1"/>
    <xf numFmtId="2" fontId="0" fillId="2" borderId="5" xfId="0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0" fontId="0" fillId="2" borderId="6" xfId="1" applyNumberFormat="1" applyFont="1" applyFill="1" applyBorder="1"/>
    <xf numFmtId="10" fontId="0" fillId="4" borderId="6" xfId="1" applyNumberFormat="1" applyFont="1" applyFill="1" applyBorder="1"/>
    <xf numFmtId="0" fontId="0" fillId="2" borderId="7" xfId="0" applyFill="1" applyBorder="1"/>
    <xf numFmtId="2" fontId="0" fillId="2" borderId="6" xfId="0" applyNumberFormat="1" applyFill="1" applyBorder="1"/>
    <xf numFmtId="0" fontId="2" fillId="2" borderId="6" xfId="0" applyFont="1" applyFill="1" applyBorder="1"/>
    <xf numFmtId="10" fontId="2" fillId="4" borderId="6" xfId="0" applyNumberFormat="1" applyFont="1" applyFill="1" applyBorder="1"/>
    <xf numFmtId="0" fontId="2" fillId="2" borderId="4" xfId="0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6" fillId="5" borderId="0" xfId="0" applyFont="1" applyFill="1"/>
    <xf numFmtId="10" fontId="6" fillId="5" borderId="0" xfId="0" applyNumberFormat="1" applyFont="1" applyFill="1"/>
    <xf numFmtId="10" fontId="0" fillId="5" borderId="0" xfId="1" applyNumberFormat="1" applyFont="1" applyFill="1"/>
    <xf numFmtId="2" fontId="6" fillId="5" borderId="0" xfId="0" applyNumberFormat="1" applyFont="1" applyFill="1"/>
    <xf numFmtId="2" fontId="0" fillId="5" borderId="0" xfId="0" applyNumberFormat="1" applyFill="1"/>
    <xf numFmtId="164" fontId="6" fillId="5" borderId="0" xfId="0" applyNumberFormat="1" applyFont="1" applyFill="1"/>
    <xf numFmtId="164" fontId="6" fillId="2" borderId="0" xfId="0" applyNumberFormat="1" applyFont="1" applyFill="1"/>
    <xf numFmtId="0" fontId="2" fillId="2" borderId="0" xfId="0" applyFont="1" applyFill="1"/>
    <xf numFmtId="0" fontId="3" fillId="2" borderId="0" xfId="0" applyFont="1" applyFill="1"/>
    <xf numFmtId="164" fontId="1" fillId="2" borderId="0" xfId="2"/>
    <xf numFmtId="0" fontId="8" fillId="6" borderId="0" xfId="0" applyFont="1" applyFill="1"/>
    <xf numFmtId="0" fontId="8" fillId="6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8" fillId="6" borderId="8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right"/>
    </xf>
    <xf numFmtId="164" fontId="1" fillId="2" borderId="8" xfId="2" applyBorder="1"/>
    <xf numFmtId="0" fontId="0" fillId="2" borderId="8" xfId="0" applyFill="1" applyBorder="1"/>
    <xf numFmtId="0" fontId="8" fillId="6" borderId="8" xfId="0" applyFont="1" applyFill="1" applyBorder="1"/>
    <xf numFmtId="0" fontId="9" fillId="2" borderId="8" xfId="0" applyFont="1" applyFill="1" applyBorder="1"/>
    <xf numFmtId="14" fontId="0" fillId="2" borderId="8" xfId="0" applyNumberFormat="1" applyFill="1" applyBorder="1" applyAlignment="1">
      <alignment horizontal="left"/>
    </xf>
    <xf numFmtId="14" fontId="0" fillId="2" borderId="9" xfId="0" applyNumberFormat="1" applyFill="1" applyBorder="1" applyAlignment="1">
      <alignment horizontal="left"/>
    </xf>
    <xf numFmtId="164" fontId="1" fillId="2" borderId="2" xfId="2" applyBorder="1"/>
    <xf numFmtId="10" fontId="0" fillId="2" borderId="2" xfId="1" applyNumberFormat="1" applyFont="1" applyFill="1" applyBorder="1"/>
    <xf numFmtId="164" fontId="1" fillId="2" borderId="9" xfId="2" applyBorder="1"/>
    <xf numFmtId="10" fontId="0" fillId="2" borderId="10" xfId="1" applyNumberFormat="1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10" fillId="2" borderId="0" xfId="0" applyFont="1" applyFill="1"/>
    <xf numFmtId="0" fontId="11" fillId="2" borderId="0" xfId="0" applyFont="1" applyFill="1"/>
    <xf numFmtId="10" fontId="6" fillId="2" borderId="0" xfId="1" applyNumberFormat="1" applyFont="1" applyFill="1"/>
    <xf numFmtId="10" fontId="12" fillId="2" borderId="0" xfId="0" applyNumberFormat="1" applyFont="1" applyFill="1"/>
    <xf numFmtId="10" fontId="13" fillId="2" borderId="0" xfId="0" applyNumberFormat="1" applyFont="1" applyFill="1"/>
    <xf numFmtId="2" fontId="13" fillId="2" borderId="0" xfId="0" applyNumberFormat="1" applyFont="1" applyFill="1"/>
    <xf numFmtId="164" fontId="13" fillId="2" borderId="0" xfId="0" applyNumberFormat="1" applyFont="1" applyFill="1"/>
    <xf numFmtId="10" fontId="6" fillId="2" borderId="6" xfId="1" applyNumberFormat="1" applyFont="1" applyFill="1" applyBorder="1"/>
  </cellXfs>
  <cellStyles count="3">
    <cellStyle name="formula ref" xfId="2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6"/>
  <sheetViews>
    <sheetView tabSelected="1" workbookViewId="0"/>
  </sheetViews>
  <sheetFormatPr defaultRowHeight="14.5" x14ac:dyDescent="0.35"/>
  <cols>
    <col min="1" max="1" width="1.90625" style="2" customWidth="1"/>
    <col min="2" max="2" width="25.54296875" style="1" customWidth="1"/>
    <col min="3" max="4" width="10.6328125" style="1" customWidth="1"/>
    <col min="5" max="5" width="11.81640625" style="1" customWidth="1"/>
    <col min="6" max="10" width="10.6328125" style="1" customWidth="1"/>
    <col min="11" max="16384" width="8.7265625" style="1"/>
  </cols>
  <sheetData>
    <row r="2" spans="2:10" ht="18.5" x14ac:dyDescent="0.45">
      <c r="B2" s="4" t="s">
        <v>0</v>
      </c>
      <c r="C2" s="3"/>
      <c r="D2" s="3"/>
      <c r="E2" s="3"/>
      <c r="F2" s="3"/>
      <c r="G2" s="3"/>
      <c r="H2" s="3"/>
      <c r="I2" s="3"/>
      <c r="J2" s="3"/>
    </row>
    <row r="4" spans="2:10" x14ac:dyDescent="0.35">
      <c r="B4" s="5" t="s">
        <v>1</v>
      </c>
    </row>
    <row r="6" spans="2:10" x14ac:dyDescent="0.35">
      <c r="B6" s="1" t="s">
        <v>2</v>
      </c>
    </row>
    <row r="7" spans="2:10" x14ac:dyDescent="0.35">
      <c r="B7" s="6"/>
      <c r="C7" s="6"/>
      <c r="D7" s="6"/>
      <c r="E7" s="6"/>
      <c r="F7" s="6"/>
      <c r="G7" s="6" t="s">
        <v>8</v>
      </c>
      <c r="H7" s="6" t="s">
        <v>8</v>
      </c>
      <c r="I7" s="6" t="s">
        <v>13</v>
      </c>
      <c r="J7" s="6" t="s">
        <v>11</v>
      </c>
    </row>
    <row r="8" spans="2:10" ht="16.5" x14ac:dyDescent="0.35">
      <c r="B8" s="7" t="s">
        <v>3</v>
      </c>
      <c r="C8" s="7" t="s">
        <v>4</v>
      </c>
      <c r="D8" s="7" t="s">
        <v>5</v>
      </c>
      <c r="E8" s="7" t="s">
        <v>6</v>
      </c>
      <c r="F8" s="7" t="s">
        <v>7</v>
      </c>
      <c r="G8" s="7" t="s">
        <v>9</v>
      </c>
      <c r="H8" s="7" t="s">
        <v>10</v>
      </c>
      <c r="I8" s="7" t="s">
        <v>12</v>
      </c>
      <c r="J8" s="7" t="s">
        <v>14</v>
      </c>
    </row>
    <row r="10" spans="2:10" x14ac:dyDescent="0.35">
      <c r="B10" s="37" t="s">
        <v>45</v>
      </c>
      <c r="C10" s="37" t="s">
        <v>15</v>
      </c>
      <c r="D10" s="42">
        <v>98752</v>
      </c>
      <c r="E10" s="42">
        <v>245902.62</v>
      </c>
      <c r="F10" s="38">
        <v>0.3</v>
      </c>
      <c r="G10" s="39">
        <f>D10/E10</f>
        <v>0.40158986512628453</v>
      </c>
      <c r="H10" s="39">
        <f>D10/(D10+E10)</f>
        <v>0.28652452127291955</v>
      </c>
      <c r="I10" s="40">
        <f>'peers Levered Beta - regression'!E5</f>
        <v>1.1292528880706336</v>
      </c>
      <c r="J10" s="41">
        <f>I10/(1+(1-F10)*(G10))</f>
        <v>0.88146242469705027</v>
      </c>
    </row>
    <row r="11" spans="2:10" x14ac:dyDescent="0.35">
      <c r="B11" s="9" t="s">
        <v>46</v>
      </c>
      <c r="C11" s="9" t="s">
        <v>15</v>
      </c>
      <c r="D11" s="43">
        <v>94801.05</v>
      </c>
      <c r="E11" s="43">
        <v>189712.16</v>
      </c>
      <c r="F11" s="10">
        <v>0.3</v>
      </c>
      <c r="G11" s="14">
        <f t="shared" ref="G11:G14" si="0">D11/E11</f>
        <v>0.4997099289787223</v>
      </c>
      <c r="H11" s="14">
        <f t="shared" ref="H11:H14" si="1">D11/(D11+E11)</f>
        <v>0.33320438794388491</v>
      </c>
      <c r="I11" s="13">
        <f>'peers Levered Beta - regression'!E6</f>
        <v>1.3540646979157647</v>
      </c>
      <c r="J11" s="15">
        <f t="shared" ref="J11:J14" si="2">I11/(1+(1-F11)*(G11))</f>
        <v>1.0031617700942037</v>
      </c>
    </row>
    <row r="12" spans="2:10" x14ac:dyDescent="0.35">
      <c r="B12" s="9" t="s">
        <v>47</v>
      </c>
      <c r="C12" s="9" t="s">
        <v>15</v>
      </c>
      <c r="D12" s="43">
        <v>18406.080000000002</v>
      </c>
      <c r="E12" s="43">
        <v>91711.02</v>
      </c>
      <c r="F12" s="10">
        <v>0.3</v>
      </c>
      <c r="G12" s="14">
        <f t="shared" si="0"/>
        <v>0.20069649209004545</v>
      </c>
      <c r="H12" s="14">
        <f t="shared" si="1"/>
        <v>0.16715006116216283</v>
      </c>
      <c r="I12" s="13">
        <f>'peers Levered Beta - regression'!E7</f>
        <v>1.3052256641542337</v>
      </c>
      <c r="J12" s="15">
        <f t="shared" si="2"/>
        <v>1.1444453475103618</v>
      </c>
    </row>
    <row r="13" spans="2:10" x14ac:dyDescent="0.35">
      <c r="B13" s="9" t="s">
        <v>48</v>
      </c>
      <c r="C13" s="9" t="s">
        <v>15</v>
      </c>
      <c r="D13" s="43">
        <v>36933.94</v>
      </c>
      <c r="E13" s="43">
        <v>52655.94</v>
      </c>
      <c r="F13" s="10">
        <v>0.3</v>
      </c>
      <c r="G13" s="14">
        <f t="shared" si="0"/>
        <v>0.70142020064592903</v>
      </c>
      <c r="H13" s="14">
        <f t="shared" si="1"/>
        <v>0.41225571459633609</v>
      </c>
      <c r="I13" s="13">
        <f>'peers Levered Beta - regression'!E8</f>
        <v>1.5705923991149173</v>
      </c>
      <c r="J13" s="15">
        <f t="shared" si="2"/>
        <v>1.0533860305035327</v>
      </c>
    </row>
    <row r="14" spans="2:10" x14ac:dyDescent="0.35">
      <c r="B14" s="9" t="s">
        <v>49</v>
      </c>
      <c r="C14" s="9" t="s">
        <v>15</v>
      </c>
      <c r="D14" s="43">
        <v>2861.05</v>
      </c>
      <c r="E14" s="43">
        <v>15199.97</v>
      </c>
      <c r="F14" s="10">
        <v>0.3</v>
      </c>
      <c r="G14" s="14">
        <f t="shared" si="0"/>
        <v>0.18822734518554973</v>
      </c>
      <c r="H14" s="14">
        <f t="shared" si="1"/>
        <v>0.15841021160488167</v>
      </c>
      <c r="I14" s="13">
        <f>'peers Levered Beta - regression'!E9</f>
        <v>1.2320998238744723</v>
      </c>
      <c r="J14" s="15">
        <f t="shared" si="2"/>
        <v>1.0886590428596701</v>
      </c>
    </row>
    <row r="16" spans="2:10" x14ac:dyDescent="0.35">
      <c r="E16" s="16" t="s">
        <v>16</v>
      </c>
      <c r="F16" s="17">
        <f>AVERAGE(F10:F14)</f>
        <v>0.3</v>
      </c>
      <c r="G16" s="18">
        <f t="shared" ref="G16:J16" si="3">AVERAGE(G10:G14)</f>
        <v>0.39832876640530623</v>
      </c>
      <c r="H16" s="18">
        <f t="shared" si="3"/>
        <v>0.27150897931603701</v>
      </c>
      <c r="I16" s="24">
        <f t="shared" si="3"/>
        <v>1.3182470946260045</v>
      </c>
      <c r="J16" s="19">
        <f t="shared" si="3"/>
        <v>1.0342229231329638</v>
      </c>
    </row>
    <row r="17" spans="2:10" x14ac:dyDescent="0.35">
      <c r="E17" s="20" t="s">
        <v>17</v>
      </c>
      <c r="F17" s="21">
        <f>MEDIAN(F10:F14)</f>
        <v>0.3</v>
      </c>
      <c r="G17" s="22">
        <f t="shared" ref="G17:J17" si="4">MEDIAN(G10:G14)</f>
        <v>0.40158986512628453</v>
      </c>
      <c r="H17" s="22">
        <f t="shared" si="4"/>
        <v>0.28652452127291955</v>
      </c>
      <c r="I17" s="25">
        <f t="shared" si="4"/>
        <v>1.3052256641542337</v>
      </c>
      <c r="J17" s="23">
        <f t="shared" si="4"/>
        <v>1.0533860305035327</v>
      </c>
    </row>
    <row r="20" spans="2:10" x14ac:dyDescent="0.35">
      <c r="B20" s="20" t="s">
        <v>18</v>
      </c>
      <c r="C20" s="26"/>
      <c r="D20" s="26"/>
      <c r="E20" s="20"/>
      <c r="G20" s="20" t="s">
        <v>22</v>
      </c>
      <c r="H20" s="20"/>
      <c r="I20" s="26"/>
      <c r="J20" s="26"/>
    </row>
    <row r="22" spans="2:10" x14ac:dyDescent="0.35">
      <c r="B22" s="1" t="s">
        <v>19</v>
      </c>
      <c r="E22" s="67">
        <f>'WACC input data'!C10+(0.75*'WACC input data'!C11)+'WACC input data'!C12</f>
        <v>6.8055000000000004E-2</v>
      </c>
      <c r="G22" s="1" t="s">
        <v>23</v>
      </c>
      <c r="J22" s="67">
        <f>'WACC input data'!C10</f>
        <v>4.0079999999999998E-2</v>
      </c>
    </row>
    <row r="23" spans="2:10" x14ac:dyDescent="0.35">
      <c r="B23" s="1" t="s">
        <v>20</v>
      </c>
      <c r="C23" s="30"/>
      <c r="D23" s="30"/>
      <c r="E23" s="68">
        <f>F17</f>
        <v>0.3</v>
      </c>
      <c r="G23" s="1" t="s">
        <v>24</v>
      </c>
      <c r="J23" s="67">
        <f>'WACC input data'!C7</f>
        <v>7.2599999999999998E-2</v>
      </c>
    </row>
    <row r="24" spans="2:10" ht="16.5" x14ac:dyDescent="0.35">
      <c r="B24" s="27" t="s">
        <v>21</v>
      </c>
      <c r="E24" s="29">
        <f>E22*(1-E23)</f>
        <v>4.76385E-2</v>
      </c>
      <c r="G24" s="1" t="s">
        <v>25</v>
      </c>
      <c r="J24" s="69">
        <f>J32</f>
        <v>1.3282042924904611</v>
      </c>
    </row>
    <row r="25" spans="2:10" x14ac:dyDescent="0.35">
      <c r="G25" s="27" t="s">
        <v>26</v>
      </c>
      <c r="H25" s="27"/>
      <c r="I25" s="27"/>
      <c r="J25" s="29">
        <f>J22+(J24*J23)</f>
        <v>0.13650763163480747</v>
      </c>
    </row>
    <row r="27" spans="2:10" x14ac:dyDescent="0.35">
      <c r="B27" s="20" t="s">
        <v>27</v>
      </c>
      <c r="C27" s="26"/>
      <c r="D27" s="26"/>
      <c r="E27" s="20"/>
      <c r="G27" s="20" t="s">
        <v>32</v>
      </c>
      <c r="H27" s="20"/>
      <c r="I27" s="26"/>
      <c r="J27" s="26"/>
    </row>
    <row r="28" spans="2:10" x14ac:dyDescent="0.35">
      <c r="D28" s="34" t="s">
        <v>28</v>
      </c>
      <c r="E28" s="34" t="s">
        <v>29</v>
      </c>
    </row>
    <row r="29" spans="2:10" x14ac:dyDescent="0.35">
      <c r="B29" s="1" t="s">
        <v>5</v>
      </c>
      <c r="C29" s="70">
        <f>D10</f>
        <v>98752</v>
      </c>
      <c r="D29" s="11">
        <f>C29/C31</f>
        <v>0.28652452127291955</v>
      </c>
      <c r="E29" s="68">
        <f>H16</f>
        <v>0.27150897931603701</v>
      </c>
      <c r="G29" s="1" t="s">
        <v>33</v>
      </c>
      <c r="J29" s="69">
        <f>J17</f>
        <v>1.0533860305035327</v>
      </c>
    </row>
    <row r="30" spans="2:10" x14ac:dyDescent="0.35">
      <c r="B30" s="1" t="s">
        <v>30</v>
      </c>
      <c r="C30" s="70">
        <f>E10</f>
        <v>245902.62</v>
      </c>
      <c r="D30" s="11">
        <f>C30/C31</f>
        <v>0.7134754787270805</v>
      </c>
      <c r="E30" s="8">
        <f>E31-E29</f>
        <v>0.72849102068396299</v>
      </c>
      <c r="G30" s="1" t="s">
        <v>34</v>
      </c>
      <c r="J30" s="68">
        <f>E33</f>
        <v>0.3727005160079031</v>
      </c>
    </row>
    <row r="31" spans="2:10" x14ac:dyDescent="0.35">
      <c r="B31" s="27" t="s">
        <v>31</v>
      </c>
      <c r="C31" s="27">
        <f>C29+C30</f>
        <v>344654.62</v>
      </c>
      <c r="D31" s="28">
        <f>D29+D30</f>
        <v>1</v>
      </c>
      <c r="E31" s="71">
        <v>1</v>
      </c>
      <c r="G31" s="1" t="s">
        <v>35</v>
      </c>
      <c r="J31" s="68">
        <f>E23</f>
        <v>0.3</v>
      </c>
    </row>
    <row r="32" spans="2:10" x14ac:dyDescent="0.35">
      <c r="G32" s="27" t="s">
        <v>32</v>
      </c>
      <c r="H32" s="27"/>
      <c r="I32" s="27"/>
      <c r="J32" s="31">
        <f>J29*(1+((1-J31)*J30))</f>
        <v>1.3282042924904611</v>
      </c>
    </row>
    <row r="33" spans="1:5" x14ac:dyDescent="0.35">
      <c r="B33" s="1" t="s">
        <v>36</v>
      </c>
      <c r="D33" s="14">
        <f>D29/D30</f>
        <v>0.40158986512628453</v>
      </c>
      <c r="E33" s="14">
        <f>E29/E30</f>
        <v>0.3727005160079031</v>
      </c>
    </row>
    <row r="35" spans="1:5" x14ac:dyDescent="0.35">
      <c r="B35" s="20" t="s">
        <v>27</v>
      </c>
      <c r="C35" s="26"/>
      <c r="D35" s="26"/>
      <c r="E35" s="20"/>
    </row>
    <row r="36" spans="1:5" x14ac:dyDescent="0.35">
      <c r="D36" s="34" t="s">
        <v>38</v>
      </c>
      <c r="E36" s="34" t="s">
        <v>39</v>
      </c>
    </row>
    <row r="37" spans="1:5" x14ac:dyDescent="0.35">
      <c r="B37" s="1" t="s">
        <v>37</v>
      </c>
      <c r="D37" s="68">
        <f>E24</f>
        <v>4.76385E-2</v>
      </c>
      <c r="E37" s="68">
        <f>E29</f>
        <v>0.27150897931603701</v>
      </c>
    </row>
    <row r="38" spans="1:5" x14ac:dyDescent="0.35">
      <c r="B38" s="1" t="s">
        <v>9</v>
      </c>
      <c r="D38" s="68">
        <f>J25</f>
        <v>0.13650763163480747</v>
      </c>
      <c r="E38" s="68">
        <f>E30</f>
        <v>0.72849102068396299</v>
      </c>
    </row>
    <row r="39" spans="1:5" x14ac:dyDescent="0.35">
      <c r="A39" s="2" t="s">
        <v>181</v>
      </c>
      <c r="B39" s="32" t="s">
        <v>40</v>
      </c>
      <c r="C39" s="32"/>
      <c r="D39" s="32"/>
      <c r="E39" s="33">
        <f>(D37*E37)+(D38*E38)</f>
        <v>0.11237886441193837</v>
      </c>
    </row>
    <row r="42" spans="1:5" x14ac:dyDescent="0.35">
      <c r="B42" s="35" t="s">
        <v>41</v>
      </c>
    </row>
    <row r="43" spans="1:5" x14ac:dyDescent="0.35">
      <c r="B43" s="36" t="s">
        <v>42</v>
      </c>
    </row>
    <row r="44" spans="1:5" x14ac:dyDescent="0.35">
      <c r="B44" s="36" t="s">
        <v>180</v>
      </c>
    </row>
    <row r="45" spans="1:5" x14ac:dyDescent="0.35">
      <c r="B45" s="36" t="s">
        <v>43</v>
      </c>
    </row>
    <row r="46" spans="1:5" x14ac:dyDescent="0.35">
      <c r="B46" s="36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4"/>
  <sheetViews>
    <sheetView workbookViewId="0">
      <selection activeCell="G2" sqref="G2"/>
    </sheetView>
  </sheetViews>
  <sheetFormatPr defaultRowHeight="14.5" x14ac:dyDescent="0.35"/>
  <cols>
    <col min="1" max="1" width="1.90625" style="1" customWidth="1"/>
    <col min="2" max="2" width="11.6328125" style="1" bestFit="1" customWidth="1"/>
    <col min="3" max="3" width="10.6328125" style="1" customWidth="1"/>
    <col min="4" max="4" width="11.90625" style="1" customWidth="1"/>
    <col min="5" max="5" width="12" style="1" customWidth="1"/>
    <col min="6" max="15" width="10.6328125" style="1" customWidth="1"/>
    <col min="16" max="16" width="8.7265625" style="53"/>
    <col min="17" max="16384" width="8.7265625" style="1"/>
  </cols>
  <sheetData>
    <row r="1" spans="2:16" ht="18.5" x14ac:dyDescent="0.45">
      <c r="B1" s="45" t="s">
        <v>50</v>
      </c>
      <c r="F1" s="64" t="s">
        <v>169</v>
      </c>
      <c r="P1" s="1"/>
    </row>
    <row r="2" spans="2:16" x14ac:dyDescent="0.35">
      <c r="P2" s="1"/>
    </row>
    <row r="3" spans="2:16" x14ac:dyDescent="0.35">
      <c r="P3" s="1"/>
    </row>
    <row r="4" spans="2:16" x14ac:dyDescent="0.35">
      <c r="B4" s="62" t="s">
        <v>51</v>
      </c>
      <c r="C4" s="63" t="s">
        <v>5</v>
      </c>
      <c r="D4" s="63" t="s">
        <v>6</v>
      </c>
      <c r="E4" s="63" t="s">
        <v>32</v>
      </c>
      <c r="P4" s="1"/>
    </row>
    <row r="5" spans="2:16" x14ac:dyDescent="0.35">
      <c r="B5" s="1" t="s">
        <v>45</v>
      </c>
      <c r="C5" s="46">
        <v>98752</v>
      </c>
      <c r="D5" s="46">
        <v>245902.62</v>
      </c>
      <c r="E5" s="12">
        <f>SLOPE($G$14:$G$193,$E$14:$E$193)</f>
        <v>1.1292528880706336</v>
      </c>
      <c r="P5" s="1"/>
    </row>
    <row r="6" spans="2:16" x14ac:dyDescent="0.35">
      <c r="B6" s="1" t="s">
        <v>46</v>
      </c>
      <c r="C6" s="46">
        <v>94801.05</v>
      </c>
      <c r="D6" s="46">
        <v>189712.16</v>
      </c>
      <c r="E6" s="12">
        <f>SLOPE(I14:I193,$E$14:$E$193)</f>
        <v>1.3540646979157647</v>
      </c>
      <c r="P6" s="1"/>
    </row>
    <row r="7" spans="2:16" x14ac:dyDescent="0.35">
      <c r="B7" s="1" t="s">
        <v>47</v>
      </c>
      <c r="C7" s="46">
        <v>18406.080000000002</v>
      </c>
      <c r="D7" s="46">
        <v>91711.02</v>
      </c>
      <c r="E7" s="12">
        <f>SLOPE($K$14:$K$193,$E$14:$E$193)</f>
        <v>1.3052256641542337</v>
      </c>
      <c r="P7" s="1"/>
    </row>
    <row r="8" spans="2:16" x14ac:dyDescent="0.35">
      <c r="B8" s="1" t="s">
        <v>48</v>
      </c>
      <c r="C8" s="46">
        <v>36933.94</v>
      </c>
      <c r="D8" s="46">
        <v>52655.94</v>
      </c>
      <c r="E8" s="12">
        <f>SLOPE($M$14:$M$193,$E$14:$E$193)</f>
        <v>1.5705923991149173</v>
      </c>
      <c r="P8" s="1"/>
    </row>
    <row r="9" spans="2:16" x14ac:dyDescent="0.35">
      <c r="B9" s="1" t="s">
        <v>49</v>
      </c>
      <c r="C9" s="46">
        <v>2861.05</v>
      </c>
      <c r="D9" s="46">
        <v>15199.97</v>
      </c>
      <c r="E9" s="12">
        <f>SLOPE($O$14:$O$193,$E$14:$E$193)</f>
        <v>1.2320998238744723</v>
      </c>
      <c r="P9" s="1"/>
    </row>
    <row r="10" spans="2:16" x14ac:dyDescent="0.35">
      <c r="P10" s="1"/>
    </row>
    <row r="11" spans="2:16" x14ac:dyDescent="0.35">
      <c r="B11" s="54"/>
      <c r="C11" s="47"/>
      <c r="D11" s="48" t="s">
        <v>163</v>
      </c>
      <c r="E11" s="48"/>
      <c r="F11" s="50" t="s">
        <v>164</v>
      </c>
      <c r="G11" s="48"/>
      <c r="H11" s="48" t="s">
        <v>165</v>
      </c>
      <c r="I11" s="48"/>
      <c r="J11" s="48" t="s">
        <v>166</v>
      </c>
      <c r="K11" s="48"/>
      <c r="L11" s="48" t="s">
        <v>167</v>
      </c>
      <c r="M11" s="48"/>
      <c r="N11" s="48" t="s">
        <v>168</v>
      </c>
      <c r="O11" s="47"/>
    </row>
    <row r="12" spans="2:16" x14ac:dyDescent="0.35">
      <c r="B12" s="55" t="s">
        <v>160</v>
      </c>
      <c r="C12" s="44"/>
      <c r="D12" s="49" t="s">
        <v>161</v>
      </c>
      <c r="E12" s="49" t="s">
        <v>162</v>
      </c>
      <c r="F12" s="51" t="s">
        <v>161</v>
      </c>
      <c r="G12" s="49" t="s">
        <v>162</v>
      </c>
      <c r="H12" s="51" t="s">
        <v>161</v>
      </c>
      <c r="I12" s="49" t="s">
        <v>162</v>
      </c>
      <c r="J12" s="51" t="s">
        <v>161</v>
      </c>
      <c r="K12" s="49" t="s">
        <v>162</v>
      </c>
      <c r="L12" s="51" t="s">
        <v>161</v>
      </c>
      <c r="M12" s="49" t="s">
        <v>162</v>
      </c>
      <c r="N12" s="51" t="s">
        <v>161</v>
      </c>
      <c r="O12" s="49" t="s">
        <v>162</v>
      </c>
    </row>
    <row r="13" spans="2:16" x14ac:dyDescent="0.35">
      <c r="B13" s="56" t="s">
        <v>52</v>
      </c>
      <c r="D13" s="46">
        <v>25112.400000000001</v>
      </c>
      <c r="F13" s="52">
        <v>1005.55</v>
      </c>
      <c r="H13" s="52">
        <v>151.97</v>
      </c>
      <c r="J13" s="52">
        <v>899.05</v>
      </c>
      <c r="L13" s="52">
        <v>127.48</v>
      </c>
      <c r="N13" s="52">
        <v>431.35</v>
      </c>
    </row>
    <row r="14" spans="2:16" x14ac:dyDescent="0.35">
      <c r="B14" s="56">
        <v>45875</v>
      </c>
      <c r="D14" s="46">
        <v>24718.6</v>
      </c>
      <c r="E14" s="11">
        <f>D14/D13-1</f>
        <v>-1.568149599401103E-2</v>
      </c>
      <c r="F14" s="52">
        <v>987.25</v>
      </c>
      <c r="G14" s="11">
        <f>F14/F13-1</f>
        <v>-1.8198995574561172E-2</v>
      </c>
      <c r="H14" s="52">
        <v>152.13</v>
      </c>
      <c r="I14" s="11">
        <f>H14/H13-1</f>
        <v>1.0528393761926047E-3</v>
      </c>
      <c r="J14" s="52">
        <v>920.75</v>
      </c>
      <c r="K14" s="11">
        <f>J14/J13-1</f>
        <v>2.4136588621322508E-2</v>
      </c>
      <c r="L14" s="52">
        <v>129.35</v>
      </c>
      <c r="M14" s="11">
        <f>L14/L13-1</f>
        <v>1.4668967681204848E-2</v>
      </c>
      <c r="N14" s="52">
        <v>448.95</v>
      </c>
      <c r="O14" s="11">
        <f>N14/N13-1</f>
        <v>4.0802132838761995E-2</v>
      </c>
    </row>
    <row r="15" spans="2:16" x14ac:dyDescent="0.35">
      <c r="B15" s="56">
        <v>45663</v>
      </c>
      <c r="D15" s="46">
        <v>25003.05</v>
      </c>
      <c r="E15" s="11">
        <f t="shared" ref="E15:E78" si="0">D15/D14-1</f>
        <v>1.1507528743537332E-2</v>
      </c>
      <c r="F15" s="52">
        <v>1004.9</v>
      </c>
      <c r="G15" s="11">
        <f t="shared" ref="G15:G78" si="1">F15/F14-1</f>
        <v>1.787794378323615E-2</v>
      </c>
      <c r="H15" s="52">
        <v>157.49</v>
      </c>
      <c r="I15" s="11">
        <f t="shared" ref="I15:I78" si="2">H15/H14-1</f>
        <v>3.523302438703757E-2</v>
      </c>
      <c r="J15" s="52">
        <v>962.75</v>
      </c>
      <c r="K15" s="11">
        <f t="shared" ref="K15:K78" si="3">J15/J14-1</f>
        <v>4.5614987781699812E-2</v>
      </c>
      <c r="L15" s="52">
        <v>135.04</v>
      </c>
      <c r="M15" s="11">
        <f t="shared" ref="M15:M78" si="4">L15/L14-1</f>
        <v>4.3989176652493134E-2</v>
      </c>
      <c r="N15" s="52">
        <v>435.95</v>
      </c>
      <c r="O15" s="11">
        <f t="shared" ref="O15:O78" si="5">N15/N14-1</f>
        <v>-2.8956453948101091E-2</v>
      </c>
    </row>
    <row r="16" spans="2:16" x14ac:dyDescent="0.35">
      <c r="B16" s="56" t="s">
        <v>53</v>
      </c>
      <c r="D16" s="46">
        <v>24750.7</v>
      </c>
      <c r="E16" s="11">
        <f t="shared" si="0"/>
        <v>-1.0092768682220754E-2</v>
      </c>
      <c r="F16" s="52">
        <v>993.5</v>
      </c>
      <c r="G16" s="11">
        <f t="shared" si="1"/>
        <v>-1.1344412379341251E-2</v>
      </c>
      <c r="H16" s="52">
        <v>161.02000000000001</v>
      </c>
      <c r="I16" s="11">
        <f t="shared" si="2"/>
        <v>2.2414121531525888E-2</v>
      </c>
      <c r="J16" s="52">
        <v>948.9</v>
      </c>
      <c r="K16" s="11">
        <f t="shared" si="3"/>
        <v>-1.4385873799013238E-2</v>
      </c>
      <c r="L16" s="52">
        <v>129.18</v>
      </c>
      <c r="M16" s="11">
        <f t="shared" si="4"/>
        <v>-4.339454976303303E-2</v>
      </c>
      <c r="N16" s="52">
        <v>437.1</v>
      </c>
      <c r="O16" s="11">
        <f t="shared" si="5"/>
        <v>2.6379171923387457E-3</v>
      </c>
    </row>
    <row r="17" spans="2:15" x14ac:dyDescent="0.35">
      <c r="B17" s="56" t="s">
        <v>54</v>
      </c>
      <c r="D17" s="46">
        <v>24853.15</v>
      </c>
      <c r="E17" s="11">
        <f t="shared" si="0"/>
        <v>4.139276868937003E-3</v>
      </c>
      <c r="F17" s="52">
        <v>1008.5</v>
      </c>
      <c r="G17" s="11">
        <f t="shared" si="1"/>
        <v>1.5098137896326191E-2</v>
      </c>
      <c r="H17" s="52">
        <v>162.97</v>
      </c>
      <c r="I17" s="11">
        <f t="shared" si="2"/>
        <v>1.2110296857533065E-2</v>
      </c>
      <c r="J17" s="52">
        <v>953.4</v>
      </c>
      <c r="K17" s="11">
        <f t="shared" si="3"/>
        <v>4.7423332279481478E-3</v>
      </c>
      <c r="L17" s="52">
        <v>125.92</v>
      </c>
      <c r="M17" s="11">
        <f t="shared" si="4"/>
        <v>-2.5236104660164127E-2</v>
      </c>
      <c r="N17" s="52">
        <v>469.4</v>
      </c>
      <c r="O17" s="11">
        <f t="shared" si="5"/>
        <v>7.3896133607869841E-2</v>
      </c>
    </row>
    <row r="18" spans="2:15" x14ac:dyDescent="0.35">
      <c r="B18" s="56">
        <v>45966</v>
      </c>
      <c r="D18" s="46">
        <v>25019.8</v>
      </c>
      <c r="E18" s="11">
        <f t="shared" si="0"/>
        <v>6.705387445856914E-3</v>
      </c>
      <c r="F18" s="52">
        <v>1021.8</v>
      </c>
      <c r="G18" s="11">
        <f t="shared" si="1"/>
        <v>1.3187902825979148E-2</v>
      </c>
      <c r="H18" s="52">
        <v>157.55000000000001</v>
      </c>
      <c r="I18" s="11">
        <f t="shared" si="2"/>
        <v>-3.3257654783088841E-2</v>
      </c>
      <c r="J18" s="52">
        <v>981.6</v>
      </c>
      <c r="K18" s="11">
        <f t="shared" si="3"/>
        <v>2.9578351164254224E-2</v>
      </c>
      <c r="L18" s="52">
        <v>122.48</v>
      </c>
      <c r="M18" s="11">
        <f t="shared" si="4"/>
        <v>-2.7318932655654327E-2</v>
      </c>
      <c r="N18" s="52">
        <v>454.75</v>
      </c>
      <c r="O18" s="11">
        <f t="shared" si="5"/>
        <v>-3.1210055389859326E-2</v>
      </c>
    </row>
    <row r="19" spans="2:15" x14ac:dyDescent="0.35">
      <c r="B19" s="56">
        <v>45752</v>
      </c>
      <c r="D19" s="46">
        <v>24008</v>
      </c>
      <c r="E19" s="11">
        <f t="shared" si="0"/>
        <v>-4.0439971542538311E-2</v>
      </c>
      <c r="F19" s="52">
        <v>957</v>
      </c>
      <c r="G19" s="11">
        <f t="shared" si="1"/>
        <v>-6.3417498532002292E-2</v>
      </c>
      <c r="H19" s="52">
        <v>142.78</v>
      </c>
      <c r="I19" s="11">
        <f t="shared" si="2"/>
        <v>-9.3748016502697595E-2</v>
      </c>
      <c r="J19" s="52">
        <v>855.35</v>
      </c>
      <c r="K19" s="11">
        <f t="shared" si="3"/>
        <v>-0.12861654441727788</v>
      </c>
      <c r="L19" s="52">
        <v>109.01</v>
      </c>
      <c r="M19" s="11">
        <f t="shared" si="4"/>
        <v>-0.10997713912475504</v>
      </c>
      <c r="N19" s="52">
        <v>421.4</v>
      </c>
      <c r="O19" s="11">
        <f t="shared" si="5"/>
        <v>-7.3336998350742255E-2</v>
      </c>
    </row>
    <row r="20" spans="2:15" x14ac:dyDescent="0.35">
      <c r="B20" s="56" t="s">
        <v>55</v>
      </c>
      <c r="D20" s="46">
        <v>24346.7</v>
      </c>
      <c r="E20" s="11">
        <f t="shared" si="0"/>
        <v>1.4107797400866318E-2</v>
      </c>
      <c r="F20" s="52">
        <v>973.2</v>
      </c>
      <c r="G20" s="11">
        <f t="shared" si="1"/>
        <v>1.6927899686520531E-2</v>
      </c>
      <c r="H20" s="52">
        <v>141.18</v>
      </c>
      <c r="I20" s="11">
        <f t="shared" si="2"/>
        <v>-1.120605126768448E-2</v>
      </c>
      <c r="J20" s="52">
        <v>897.75</v>
      </c>
      <c r="K20" s="11">
        <f t="shared" si="3"/>
        <v>4.9570351318173778E-2</v>
      </c>
      <c r="L20" s="52">
        <v>113.22</v>
      </c>
      <c r="M20" s="11">
        <f t="shared" si="4"/>
        <v>3.8620310063296914E-2</v>
      </c>
      <c r="N20" s="52">
        <v>442.2</v>
      </c>
      <c r="O20" s="11">
        <f t="shared" si="5"/>
        <v>4.9359278595159095E-2</v>
      </c>
    </row>
    <row r="21" spans="2:15" x14ac:dyDescent="0.35">
      <c r="B21" s="56" t="s">
        <v>56</v>
      </c>
      <c r="D21" s="46">
        <v>24039.35</v>
      </c>
      <c r="E21" s="11">
        <f t="shared" si="0"/>
        <v>-1.2623887426222113E-2</v>
      </c>
      <c r="F21" s="52">
        <v>1028.4000000000001</v>
      </c>
      <c r="G21" s="11">
        <f t="shared" si="1"/>
        <v>5.6720098643649797E-2</v>
      </c>
      <c r="H21" s="52">
        <v>138.85</v>
      </c>
      <c r="I21" s="11">
        <f t="shared" si="2"/>
        <v>-1.6503754072814902E-2</v>
      </c>
      <c r="J21" s="52">
        <v>891.8</v>
      </c>
      <c r="K21" s="11">
        <f t="shared" si="3"/>
        <v>-6.6276803118908711E-3</v>
      </c>
      <c r="L21" s="52">
        <v>114.81</v>
      </c>
      <c r="M21" s="11">
        <f t="shared" si="4"/>
        <v>1.4043455219925782E-2</v>
      </c>
      <c r="N21" s="52">
        <v>477.25</v>
      </c>
      <c r="O21" s="11">
        <f t="shared" si="5"/>
        <v>7.9262777023971109E-2</v>
      </c>
    </row>
    <row r="22" spans="2:15" x14ac:dyDescent="0.35">
      <c r="B22" s="56" t="s">
        <v>57</v>
      </c>
      <c r="D22" s="46">
        <v>23851.65</v>
      </c>
      <c r="E22" s="11">
        <f t="shared" si="0"/>
        <v>-7.8080314151587338E-3</v>
      </c>
      <c r="F22" s="52">
        <v>1007.2</v>
      </c>
      <c r="G22" s="11">
        <f t="shared" si="1"/>
        <v>-2.0614546868922612E-2</v>
      </c>
      <c r="H22" s="52">
        <v>137.13999999999999</v>
      </c>
      <c r="I22" s="11">
        <f t="shared" si="2"/>
        <v>-1.231544832553122E-2</v>
      </c>
      <c r="J22" s="52">
        <v>881.7</v>
      </c>
      <c r="K22" s="11">
        <f t="shared" si="3"/>
        <v>-1.1325409284592802E-2</v>
      </c>
      <c r="L22" s="52">
        <v>113.96</v>
      </c>
      <c r="M22" s="11">
        <f t="shared" si="4"/>
        <v>-7.4035362773278157E-3</v>
      </c>
      <c r="N22" s="52">
        <v>479.1</v>
      </c>
      <c r="O22" s="11">
        <f t="shared" si="5"/>
        <v>3.8763750654793316E-3</v>
      </c>
    </row>
    <row r="23" spans="2:15" x14ac:dyDescent="0.35">
      <c r="B23" s="56">
        <v>45812</v>
      </c>
      <c r="D23" s="46">
        <v>22828.55</v>
      </c>
      <c r="E23" s="11">
        <f t="shared" si="0"/>
        <v>-4.2894307102443685E-2</v>
      </c>
      <c r="F23" s="52">
        <v>990.25</v>
      </c>
      <c r="G23" s="11">
        <f t="shared" si="1"/>
        <v>-1.682883240667199E-2</v>
      </c>
      <c r="H23" s="52">
        <v>133.41999999999999</v>
      </c>
      <c r="I23" s="11">
        <f t="shared" si="2"/>
        <v>-2.7125565115939887E-2</v>
      </c>
      <c r="J23" s="52">
        <v>805.65</v>
      </c>
      <c r="K23" s="11">
        <f t="shared" si="3"/>
        <v>-8.6253827832596164E-2</v>
      </c>
      <c r="L23" s="52">
        <v>108.34</v>
      </c>
      <c r="M23" s="11">
        <f t="shared" si="4"/>
        <v>-4.9315549315549267E-2</v>
      </c>
      <c r="N23" s="52">
        <v>467.65</v>
      </c>
      <c r="O23" s="11">
        <f t="shared" si="5"/>
        <v>-2.389897724900869E-2</v>
      </c>
    </row>
    <row r="24" spans="2:15" x14ac:dyDescent="0.35">
      <c r="B24" s="56" t="s">
        <v>58</v>
      </c>
      <c r="D24" s="46">
        <v>22904.45</v>
      </c>
      <c r="E24" s="11">
        <f t="shared" si="0"/>
        <v>3.3247840971064591E-3</v>
      </c>
      <c r="F24" s="52">
        <v>1005.75</v>
      </c>
      <c r="G24" s="11">
        <f t="shared" si="1"/>
        <v>1.5652612976521096E-2</v>
      </c>
      <c r="H24" s="52">
        <v>140.38999999999999</v>
      </c>
      <c r="I24" s="11">
        <f t="shared" si="2"/>
        <v>5.2241043321840763E-2</v>
      </c>
      <c r="J24" s="52">
        <v>850.1</v>
      </c>
      <c r="K24" s="11">
        <f t="shared" si="3"/>
        <v>5.5172841804753903E-2</v>
      </c>
      <c r="L24" s="52">
        <v>112.6</v>
      </c>
      <c r="M24" s="11">
        <f t="shared" si="4"/>
        <v>3.9320657190326624E-2</v>
      </c>
      <c r="N24" s="52">
        <v>495.75</v>
      </c>
      <c r="O24" s="11">
        <f t="shared" si="5"/>
        <v>6.008767240457602E-2</v>
      </c>
    </row>
    <row r="25" spans="2:15" x14ac:dyDescent="0.35">
      <c r="B25" s="56" t="s">
        <v>59</v>
      </c>
      <c r="D25" s="46">
        <v>23519.35</v>
      </c>
      <c r="E25" s="11">
        <f t="shared" si="0"/>
        <v>2.6846311524616251E-2</v>
      </c>
      <c r="F25" s="52">
        <v>1063.2</v>
      </c>
      <c r="G25" s="11">
        <f t="shared" si="1"/>
        <v>5.7121551081282584E-2</v>
      </c>
      <c r="H25" s="52">
        <v>154.24</v>
      </c>
      <c r="I25" s="11">
        <f t="shared" si="2"/>
        <v>9.8653750267113205E-2</v>
      </c>
      <c r="J25" s="52">
        <v>912.3</v>
      </c>
      <c r="K25" s="11">
        <f t="shared" si="3"/>
        <v>7.3167862604399447E-2</v>
      </c>
      <c r="L25" s="52">
        <v>115.18</v>
      </c>
      <c r="M25" s="11">
        <f t="shared" si="4"/>
        <v>2.2912966252220279E-2</v>
      </c>
      <c r="N25" s="52">
        <v>513.9</v>
      </c>
      <c r="O25" s="11">
        <f t="shared" si="5"/>
        <v>3.6611195158850141E-2</v>
      </c>
    </row>
    <row r="26" spans="2:15" x14ac:dyDescent="0.35">
      <c r="B26" s="56" t="s">
        <v>60</v>
      </c>
      <c r="D26" s="46">
        <v>23350.400000000001</v>
      </c>
      <c r="E26" s="11">
        <f t="shared" si="0"/>
        <v>-7.1834468214468927E-3</v>
      </c>
      <c r="F26" s="52">
        <v>1058.7</v>
      </c>
      <c r="G26" s="11">
        <f t="shared" si="1"/>
        <v>-4.2325056433408781E-3</v>
      </c>
      <c r="H26" s="52">
        <v>157.28</v>
      </c>
      <c r="I26" s="11">
        <f t="shared" si="2"/>
        <v>1.970954356846466E-2</v>
      </c>
      <c r="J26" s="52">
        <v>914.3</v>
      </c>
      <c r="K26" s="11">
        <f t="shared" si="3"/>
        <v>2.1922613175491268E-3</v>
      </c>
      <c r="L26" s="52">
        <v>115.3</v>
      </c>
      <c r="M26" s="11">
        <f t="shared" si="4"/>
        <v>1.0418475429760932E-3</v>
      </c>
      <c r="N26" s="52">
        <v>545.54999999999995</v>
      </c>
      <c r="O26" s="11">
        <f t="shared" si="5"/>
        <v>6.1587857559836534E-2</v>
      </c>
    </row>
    <row r="27" spans="2:15" x14ac:dyDescent="0.35">
      <c r="B27" s="56">
        <v>45903</v>
      </c>
      <c r="D27" s="46">
        <v>22397.200000000001</v>
      </c>
      <c r="E27" s="11">
        <f t="shared" si="0"/>
        <v>-4.0821570508428162E-2</v>
      </c>
      <c r="F27" s="52">
        <v>1001.2</v>
      </c>
      <c r="G27" s="11">
        <f t="shared" si="1"/>
        <v>-5.4311891942948942E-2</v>
      </c>
      <c r="H27" s="52">
        <v>150.88</v>
      </c>
      <c r="I27" s="11">
        <f t="shared" si="2"/>
        <v>-4.069175991861651E-2</v>
      </c>
      <c r="J27" s="52">
        <v>889.7</v>
      </c>
      <c r="K27" s="11">
        <f t="shared" si="3"/>
        <v>-2.6905829596412412E-2</v>
      </c>
      <c r="L27" s="52">
        <v>105.89</v>
      </c>
      <c r="M27" s="11">
        <f t="shared" si="4"/>
        <v>-8.1613183000867284E-2</v>
      </c>
      <c r="N27" s="52">
        <v>541.04999999999995</v>
      </c>
      <c r="O27" s="11">
        <f t="shared" si="5"/>
        <v>-8.2485565026120256E-3</v>
      </c>
    </row>
    <row r="28" spans="2:15" x14ac:dyDescent="0.35">
      <c r="B28" s="56">
        <v>45691</v>
      </c>
      <c r="D28" s="46">
        <v>22552.5</v>
      </c>
      <c r="E28" s="11">
        <f t="shared" si="0"/>
        <v>6.9339024520922443E-3</v>
      </c>
      <c r="F28" s="52">
        <v>1011.15</v>
      </c>
      <c r="G28" s="11">
        <f t="shared" si="1"/>
        <v>9.9380743108270497E-3</v>
      </c>
      <c r="H28" s="52">
        <v>151.56</v>
      </c>
      <c r="I28" s="11">
        <f t="shared" si="2"/>
        <v>4.5068928950160458E-3</v>
      </c>
      <c r="J28" s="52">
        <v>908.95</v>
      </c>
      <c r="K28" s="11">
        <f t="shared" si="3"/>
        <v>2.1636506687647605E-2</v>
      </c>
      <c r="L28" s="52">
        <v>110.91</v>
      </c>
      <c r="M28" s="11">
        <f t="shared" si="4"/>
        <v>4.7407687222589479E-2</v>
      </c>
      <c r="N28" s="52">
        <v>471.05</v>
      </c>
      <c r="O28" s="11">
        <f t="shared" si="5"/>
        <v>-0.1293780611773403</v>
      </c>
    </row>
    <row r="29" spans="2:15" x14ac:dyDescent="0.35">
      <c r="B29" s="56" t="s">
        <v>61</v>
      </c>
      <c r="D29" s="46">
        <v>22124.7</v>
      </c>
      <c r="E29" s="11">
        <f t="shared" si="0"/>
        <v>-1.8969072164948475E-2</v>
      </c>
      <c r="F29" s="52">
        <v>950.7</v>
      </c>
      <c r="G29" s="11">
        <f t="shared" si="1"/>
        <v>-5.978341492360173E-2</v>
      </c>
      <c r="H29" s="52">
        <v>137.19999999999999</v>
      </c>
      <c r="I29" s="11">
        <f t="shared" si="2"/>
        <v>-9.4747954605436835E-2</v>
      </c>
      <c r="J29" s="52">
        <v>856.15</v>
      </c>
      <c r="K29" s="11">
        <f t="shared" si="3"/>
        <v>-5.8089003795588345E-2</v>
      </c>
      <c r="L29" s="52">
        <v>105.02</v>
      </c>
      <c r="M29" s="11">
        <f t="shared" si="4"/>
        <v>-5.3106122080966545E-2</v>
      </c>
      <c r="N29" s="52">
        <v>453.55</v>
      </c>
      <c r="O29" s="11">
        <f t="shared" si="5"/>
        <v>-3.7151045536567229E-2</v>
      </c>
    </row>
    <row r="30" spans="2:15" x14ac:dyDescent="0.35">
      <c r="B30" s="56" t="s">
        <v>62</v>
      </c>
      <c r="D30" s="46">
        <v>22795.9</v>
      </c>
      <c r="E30" s="11">
        <f t="shared" si="0"/>
        <v>3.0337134514818231E-2</v>
      </c>
      <c r="F30" s="52">
        <v>981.9</v>
      </c>
      <c r="G30" s="11">
        <f t="shared" si="1"/>
        <v>3.2817923635216184E-2</v>
      </c>
      <c r="H30" s="52">
        <v>140.76</v>
      </c>
      <c r="I30" s="11">
        <f t="shared" si="2"/>
        <v>2.5947521865889334E-2</v>
      </c>
      <c r="J30" s="52">
        <v>880.35</v>
      </c>
      <c r="K30" s="11">
        <f t="shared" si="3"/>
        <v>2.8266074870057833E-2</v>
      </c>
      <c r="L30" s="52">
        <v>112.76</v>
      </c>
      <c r="M30" s="11">
        <f t="shared" si="4"/>
        <v>7.3700247571891087E-2</v>
      </c>
      <c r="N30" s="52">
        <v>489.65</v>
      </c>
      <c r="O30" s="11">
        <f t="shared" si="5"/>
        <v>7.9594311542277474E-2</v>
      </c>
    </row>
    <row r="31" spans="2:15" x14ac:dyDescent="0.35">
      <c r="B31" s="56">
        <v>45902</v>
      </c>
      <c r="D31" s="46">
        <v>22929.25</v>
      </c>
      <c r="E31" s="11">
        <f t="shared" si="0"/>
        <v>5.8497361367613188E-3</v>
      </c>
      <c r="F31" s="52">
        <v>964.6</v>
      </c>
      <c r="G31" s="11">
        <f t="shared" si="1"/>
        <v>-1.7618902128526237E-2</v>
      </c>
      <c r="H31" s="52">
        <v>134.47</v>
      </c>
      <c r="I31" s="11">
        <f t="shared" si="2"/>
        <v>-4.4685990338164228E-2</v>
      </c>
      <c r="J31" s="52">
        <v>833.3</v>
      </c>
      <c r="K31" s="11">
        <f t="shared" si="3"/>
        <v>-5.3444652694950912E-2</v>
      </c>
      <c r="L31" s="52">
        <v>105.71</v>
      </c>
      <c r="M31" s="11">
        <f t="shared" si="4"/>
        <v>-6.2522170982618031E-2</v>
      </c>
      <c r="N31" s="52">
        <v>458.05</v>
      </c>
      <c r="O31" s="11">
        <f t="shared" si="5"/>
        <v>-6.4535892984785015E-2</v>
      </c>
    </row>
    <row r="32" spans="2:15" x14ac:dyDescent="0.35">
      <c r="B32" s="56">
        <v>45690</v>
      </c>
      <c r="D32" s="46">
        <v>23559.95</v>
      </c>
      <c r="E32" s="11">
        <f t="shared" si="0"/>
        <v>2.7506351058146361E-2</v>
      </c>
      <c r="F32" s="52">
        <v>980.75</v>
      </c>
      <c r="G32" s="11">
        <f t="shared" si="1"/>
        <v>1.6742691270993149E-2</v>
      </c>
      <c r="H32" s="52">
        <v>138.31</v>
      </c>
      <c r="I32" s="11">
        <f t="shared" si="2"/>
        <v>2.8556555365509162E-2</v>
      </c>
      <c r="J32" s="52">
        <v>844.55</v>
      </c>
      <c r="K32" s="11">
        <f t="shared" si="3"/>
        <v>1.3500540021600838E-2</v>
      </c>
      <c r="L32" s="52">
        <v>110.32</v>
      </c>
      <c r="M32" s="11">
        <f t="shared" si="4"/>
        <v>4.3609876076057041E-2</v>
      </c>
      <c r="N32" s="52">
        <v>466.25</v>
      </c>
      <c r="O32" s="11">
        <f t="shared" si="5"/>
        <v>1.7901975766837719E-2</v>
      </c>
    </row>
    <row r="33" spans="2:15" x14ac:dyDescent="0.35">
      <c r="B33" s="56" t="s">
        <v>63</v>
      </c>
      <c r="D33" s="46">
        <v>23508.400000000001</v>
      </c>
      <c r="E33" s="11">
        <f t="shared" si="0"/>
        <v>-2.188035203809835E-3</v>
      </c>
      <c r="F33" s="52">
        <v>945</v>
      </c>
      <c r="G33" s="11">
        <f t="shared" si="1"/>
        <v>-3.6451695131277106E-2</v>
      </c>
      <c r="H33" s="52">
        <v>134.62</v>
      </c>
      <c r="I33" s="11">
        <f t="shared" si="2"/>
        <v>-2.6679198901019441E-2</v>
      </c>
      <c r="J33" s="52">
        <v>791.55</v>
      </c>
      <c r="K33" s="11">
        <f t="shared" si="3"/>
        <v>-6.2755313480551744E-2</v>
      </c>
      <c r="L33" s="52">
        <v>107.43</v>
      </c>
      <c r="M33" s="11">
        <f t="shared" si="4"/>
        <v>-2.6196519216823644E-2</v>
      </c>
      <c r="N33" s="52">
        <v>473.2</v>
      </c>
      <c r="O33" s="11">
        <f t="shared" si="5"/>
        <v>1.490616621983909E-2</v>
      </c>
    </row>
    <row r="34" spans="2:15" x14ac:dyDescent="0.35">
      <c r="B34" s="56" t="s">
        <v>64</v>
      </c>
      <c r="D34" s="46">
        <v>23092.2</v>
      </c>
      <c r="E34" s="11">
        <f t="shared" si="0"/>
        <v>-1.7704309948784247E-2</v>
      </c>
      <c r="F34" s="52">
        <v>932.45</v>
      </c>
      <c r="G34" s="11">
        <f t="shared" si="1"/>
        <v>-1.3280423280423226E-2</v>
      </c>
      <c r="H34" s="52">
        <v>129.74</v>
      </c>
      <c r="I34" s="11">
        <f t="shared" si="2"/>
        <v>-3.6250185707918603E-2</v>
      </c>
      <c r="J34" s="52">
        <v>882.8</v>
      </c>
      <c r="K34" s="11">
        <f t="shared" si="3"/>
        <v>0.1152801465479123</v>
      </c>
      <c r="L34" s="52">
        <v>108.17</v>
      </c>
      <c r="M34" s="11">
        <f t="shared" si="4"/>
        <v>6.8882062738526706E-3</v>
      </c>
      <c r="N34" s="52">
        <v>431.2</v>
      </c>
      <c r="O34" s="11">
        <f t="shared" si="5"/>
        <v>-8.8757396449704151E-2</v>
      </c>
    </row>
    <row r="35" spans="2:15" x14ac:dyDescent="0.35">
      <c r="B35" s="56">
        <v>45992</v>
      </c>
      <c r="D35" s="46">
        <v>23203.200000000001</v>
      </c>
      <c r="E35" s="11">
        <f t="shared" si="0"/>
        <v>4.8068178865590117E-3</v>
      </c>
      <c r="F35" s="52">
        <v>908.6</v>
      </c>
      <c r="G35" s="11">
        <f t="shared" si="1"/>
        <v>-2.5577778969381737E-2</v>
      </c>
      <c r="H35" s="52">
        <v>130.28</v>
      </c>
      <c r="I35" s="11">
        <f t="shared" si="2"/>
        <v>4.162170494835804E-3</v>
      </c>
      <c r="J35" s="52">
        <v>924.65</v>
      </c>
      <c r="K35" s="11">
        <f t="shared" si="3"/>
        <v>4.7405980969642103E-2</v>
      </c>
      <c r="L35" s="52">
        <v>108.82</v>
      </c>
      <c r="M35" s="11">
        <f t="shared" si="4"/>
        <v>6.009059813256723E-3</v>
      </c>
      <c r="N35" s="52">
        <v>426.85</v>
      </c>
      <c r="O35" s="11">
        <f t="shared" si="5"/>
        <v>-1.0088126159554678E-2</v>
      </c>
    </row>
    <row r="36" spans="2:15" x14ac:dyDescent="0.35">
      <c r="B36" s="56">
        <v>45778</v>
      </c>
      <c r="D36" s="46">
        <v>23431.5</v>
      </c>
      <c r="E36" s="11">
        <f t="shared" si="0"/>
        <v>9.8391601158460684E-3</v>
      </c>
      <c r="F36" s="52">
        <v>900.1</v>
      </c>
      <c r="G36" s="11">
        <f t="shared" si="1"/>
        <v>-9.3550517279330503E-3</v>
      </c>
      <c r="H36" s="52">
        <v>127.43</v>
      </c>
      <c r="I36" s="11">
        <f t="shared" si="2"/>
        <v>-2.187595947190657E-2</v>
      </c>
      <c r="J36" s="52">
        <v>917.7</v>
      </c>
      <c r="K36" s="11">
        <f t="shared" si="3"/>
        <v>-7.516357540691021E-3</v>
      </c>
      <c r="L36" s="52">
        <v>106.03</v>
      </c>
      <c r="M36" s="11">
        <f t="shared" si="4"/>
        <v>-2.5638669362249566E-2</v>
      </c>
      <c r="N36" s="52">
        <v>470.65</v>
      </c>
      <c r="O36" s="11">
        <f t="shared" si="5"/>
        <v>0.10261215883799912</v>
      </c>
    </row>
    <row r="37" spans="2:15" x14ac:dyDescent="0.35">
      <c r="B37" s="56" t="s">
        <v>65</v>
      </c>
      <c r="D37" s="46">
        <v>24004.75</v>
      </c>
      <c r="E37" s="11">
        <f t="shared" si="0"/>
        <v>2.4464929688666981E-2</v>
      </c>
      <c r="F37" s="52">
        <v>915.05</v>
      </c>
      <c r="G37" s="11">
        <f t="shared" si="1"/>
        <v>1.660926563715126E-2</v>
      </c>
      <c r="H37" s="52">
        <v>138.36000000000001</v>
      </c>
      <c r="I37" s="11">
        <f t="shared" si="2"/>
        <v>8.5772581024876393E-2</v>
      </c>
      <c r="J37" s="52">
        <v>957.85</v>
      </c>
      <c r="K37" s="11">
        <f t="shared" si="3"/>
        <v>4.3750681050452211E-2</v>
      </c>
      <c r="L37" s="52">
        <v>114.17</v>
      </c>
      <c r="M37" s="11">
        <f t="shared" si="4"/>
        <v>7.6770725266434026E-2</v>
      </c>
      <c r="N37" s="52">
        <v>481.15</v>
      </c>
      <c r="O37" s="11">
        <f t="shared" si="5"/>
        <v>2.2309571868692313E-2</v>
      </c>
    </row>
    <row r="38" spans="2:15" x14ac:dyDescent="0.35">
      <c r="B38" s="56" t="s">
        <v>66</v>
      </c>
      <c r="D38" s="46">
        <v>23813.4</v>
      </c>
      <c r="E38" s="11">
        <f t="shared" si="0"/>
        <v>-7.9713390058216982E-3</v>
      </c>
      <c r="F38" s="52">
        <v>913.3</v>
      </c>
      <c r="G38" s="11">
        <f t="shared" si="1"/>
        <v>-1.9124637997923744E-3</v>
      </c>
      <c r="H38" s="52">
        <v>138.91</v>
      </c>
      <c r="I38" s="11">
        <f t="shared" si="2"/>
        <v>3.9751373229255371E-3</v>
      </c>
      <c r="J38" s="52">
        <v>923.55</v>
      </c>
      <c r="K38" s="11">
        <f t="shared" si="3"/>
        <v>-3.580936472307783E-2</v>
      </c>
      <c r="L38" s="52">
        <v>115.53</v>
      </c>
      <c r="M38" s="11">
        <f t="shared" si="4"/>
        <v>1.1912060961723814E-2</v>
      </c>
      <c r="N38" s="52">
        <v>478.3</v>
      </c>
      <c r="O38" s="11">
        <f t="shared" si="5"/>
        <v>-5.9233087394782169E-3</v>
      </c>
    </row>
    <row r="39" spans="2:15" x14ac:dyDescent="0.35">
      <c r="B39" s="56" t="s">
        <v>67</v>
      </c>
      <c r="D39" s="46">
        <v>23587.5</v>
      </c>
      <c r="E39" s="11">
        <f t="shared" si="0"/>
        <v>-9.4862556375822082E-3</v>
      </c>
      <c r="F39" s="52">
        <v>917.35</v>
      </c>
      <c r="G39" s="11">
        <f t="shared" si="1"/>
        <v>4.434468411256054E-3</v>
      </c>
      <c r="H39" s="52">
        <v>140.68</v>
      </c>
      <c r="I39" s="11">
        <f t="shared" si="2"/>
        <v>1.2742063206392595E-2</v>
      </c>
      <c r="J39" s="52">
        <v>908.05</v>
      </c>
      <c r="K39" s="11">
        <f t="shared" si="3"/>
        <v>-1.6783065345676973E-2</v>
      </c>
      <c r="L39" s="52">
        <v>116.1</v>
      </c>
      <c r="M39" s="11">
        <f t="shared" si="4"/>
        <v>4.9337834328744279E-3</v>
      </c>
      <c r="N39" s="52">
        <v>469.6</v>
      </c>
      <c r="O39" s="11">
        <f t="shared" si="5"/>
        <v>-1.818942086556552E-2</v>
      </c>
    </row>
    <row r="40" spans="2:15" x14ac:dyDescent="0.35">
      <c r="B40" s="56">
        <v>45516</v>
      </c>
      <c r="D40" s="46">
        <v>24768.3</v>
      </c>
      <c r="E40" s="11">
        <f t="shared" si="0"/>
        <v>5.0060413354531041E-2</v>
      </c>
      <c r="F40" s="52">
        <v>999.85</v>
      </c>
      <c r="G40" s="11">
        <f t="shared" si="1"/>
        <v>8.9932959066877372E-2</v>
      </c>
      <c r="H40" s="52">
        <v>148.94999999999999</v>
      </c>
      <c r="I40" s="11">
        <f t="shared" si="2"/>
        <v>5.8785897071367499E-2</v>
      </c>
      <c r="J40" s="52">
        <v>998.75</v>
      </c>
      <c r="K40" s="11">
        <f t="shared" si="3"/>
        <v>9.9884367600903134E-2</v>
      </c>
      <c r="L40" s="52">
        <v>124.76</v>
      </c>
      <c r="M40" s="11">
        <f t="shared" si="4"/>
        <v>7.4590869939707316E-2</v>
      </c>
      <c r="N40" s="52">
        <v>478.15</v>
      </c>
      <c r="O40" s="11">
        <f t="shared" si="5"/>
        <v>1.8206984667802351E-2</v>
      </c>
    </row>
    <row r="41" spans="2:15" x14ac:dyDescent="0.35">
      <c r="B41" s="56">
        <v>45303</v>
      </c>
      <c r="D41" s="46">
        <v>24677.8</v>
      </c>
      <c r="E41" s="11">
        <f t="shared" si="0"/>
        <v>-3.653864011660013E-3</v>
      </c>
      <c r="F41" s="52">
        <v>1003.8</v>
      </c>
      <c r="G41" s="11">
        <f t="shared" si="1"/>
        <v>3.950592588888302E-3</v>
      </c>
      <c r="H41" s="52">
        <v>148.29</v>
      </c>
      <c r="I41" s="11">
        <f t="shared" si="2"/>
        <v>-4.4310171198388426E-3</v>
      </c>
      <c r="J41" s="52">
        <v>949.1</v>
      </c>
      <c r="K41" s="11">
        <f t="shared" si="3"/>
        <v>-4.9712140175218966E-2</v>
      </c>
      <c r="L41" s="52">
        <v>123.89</v>
      </c>
      <c r="M41" s="11">
        <f t="shared" si="4"/>
        <v>-6.9733889067008503E-3</v>
      </c>
      <c r="N41" s="52">
        <v>472.5</v>
      </c>
      <c r="O41" s="11">
        <f t="shared" si="5"/>
        <v>-1.1816375614346897E-2</v>
      </c>
    </row>
    <row r="42" spans="2:15" x14ac:dyDescent="0.35">
      <c r="B42" s="56" t="s">
        <v>68</v>
      </c>
      <c r="D42" s="46">
        <v>24131.1</v>
      </c>
      <c r="E42" s="11">
        <f t="shared" si="0"/>
        <v>-2.2153514494809179E-2</v>
      </c>
      <c r="F42" s="52">
        <v>966</v>
      </c>
      <c r="G42" s="11">
        <f t="shared" si="1"/>
        <v>-3.7656903765690308E-2</v>
      </c>
      <c r="H42" s="52">
        <v>144.54</v>
      </c>
      <c r="I42" s="11">
        <f t="shared" si="2"/>
        <v>-2.5288286465709131E-2</v>
      </c>
      <c r="J42" s="52">
        <v>906.45</v>
      </c>
      <c r="K42" s="11">
        <f t="shared" si="3"/>
        <v>-4.493730902960702E-2</v>
      </c>
      <c r="L42" s="52">
        <v>117.11</v>
      </c>
      <c r="M42" s="11">
        <f t="shared" si="4"/>
        <v>-5.4725966583259344E-2</v>
      </c>
      <c r="N42" s="52">
        <v>447</v>
      </c>
      <c r="O42" s="11">
        <f t="shared" si="5"/>
        <v>-5.3968253968253999E-2</v>
      </c>
    </row>
    <row r="43" spans="2:15" x14ac:dyDescent="0.35">
      <c r="B43" s="56" t="s">
        <v>69</v>
      </c>
      <c r="D43" s="46">
        <v>23907.25</v>
      </c>
      <c r="E43" s="11">
        <f t="shared" si="0"/>
        <v>-9.2764109385812255E-3</v>
      </c>
      <c r="F43" s="52">
        <v>977.35</v>
      </c>
      <c r="G43" s="11">
        <f t="shared" si="1"/>
        <v>1.1749482401656408E-2</v>
      </c>
      <c r="H43" s="52">
        <v>142.78</v>
      </c>
      <c r="I43" s="11">
        <f t="shared" si="2"/>
        <v>-1.217656012176549E-2</v>
      </c>
      <c r="J43" s="52">
        <v>878.95</v>
      </c>
      <c r="K43" s="11">
        <f t="shared" si="3"/>
        <v>-3.0338132274256746E-2</v>
      </c>
      <c r="L43" s="52">
        <v>112.83</v>
      </c>
      <c r="M43" s="11">
        <f t="shared" si="4"/>
        <v>-3.6546836307744912E-2</v>
      </c>
      <c r="N43" s="52">
        <v>414</v>
      </c>
      <c r="O43" s="11">
        <f t="shared" si="5"/>
        <v>-7.3825503355704702E-2</v>
      </c>
    </row>
    <row r="44" spans="2:15" x14ac:dyDescent="0.35">
      <c r="B44" s="56">
        <v>45576</v>
      </c>
      <c r="D44" s="46">
        <v>23532.7</v>
      </c>
      <c r="E44" s="11">
        <f t="shared" si="0"/>
        <v>-1.5666795637306663E-2</v>
      </c>
      <c r="F44" s="52">
        <v>939.05</v>
      </c>
      <c r="G44" s="11">
        <f t="shared" si="1"/>
        <v>-3.9187599120069638E-2</v>
      </c>
      <c r="H44" s="52">
        <v>137.97999999999999</v>
      </c>
      <c r="I44" s="11">
        <f t="shared" si="2"/>
        <v>-3.3618153803053774E-2</v>
      </c>
      <c r="J44" s="52">
        <v>877.4</v>
      </c>
      <c r="K44" s="11">
        <f t="shared" si="3"/>
        <v>-1.7634677740486771E-3</v>
      </c>
      <c r="L44" s="52">
        <v>111.84</v>
      </c>
      <c r="M44" s="11">
        <f t="shared" si="4"/>
        <v>-8.7742621643179808E-3</v>
      </c>
      <c r="N44" s="52">
        <v>428.3</v>
      </c>
      <c r="O44" s="11">
        <f t="shared" si="5"/>
        <v>3.4541062801932476E-2</v>
      </c>
    </row>
    <row r="45" spans="2:15" x14ac:dyDescent="0.35">
      <c r="B45" s="56">
        <v>45362</v>
      </c>
      <c r="D45" s="46">
        <v>24148.2</v>
      </c>
      <c r="E45" s="11">
        <f t="shared" si="0"/>
        <v>2.6155094825498049E-2</v>
      </c>
      <c r="F45" s="52">
        <v>996.4</v>
      </c>
      <c r="G45" s="11">
        <f t="shared" si="1"/>
        <v>6.1072360364197831E-2</v>
      </c>
      <c r="H45" s="52">
        <v>147.57</v>
      </c>
      <c r="I45" s="11">
        <f t="shared" si="2"/>
        <v>6.9502826496593784E-2</v>
      </c>
      <c r="J45" s="52">
        <v>928.05</v>
      </c>
      <c r="K45" s="11">
        <f t="shared" si="3"/>
        <v>5.77273763391839E-2</v>
      </c>
      <c r="L45" s="52">
        <v>118.21</v>
      </c>
      <c r="M45" s="11">
        <f t="shared" si="4"/>
        <v>5.6956366237482126E-2</v>
      </c>
      <c r="N45" s="52">
        <v>462.4</v>
      </c>
      <c r="O45" s="11">
        <f t="shared" si="5"/>
        <v>7.9617090824188663E-2</v>
      </c>
    </row>
    <row r="46" spans="2:15" x14ac:dyDescent="0.35">
      <c r="B46" s="56" t="s">
        <v>70</v>
      </c>
      <c r="D46" s="46">
        <v>24304.35</v>
      </c>
      <c r="E46" s="11">
        <f t="shared" si="0"/>
        <v>6.4663204710908584E-3</v>
      </c>
      <c r="F46" s="52">
        <v>968.3</v>
      </c>
      <c r="G46" s="11">
        <f t="shared" si="1"/>
        <v>-2.8201525491770352E-2</v>
      </c>
      <c r="H46" s="52">
        <v>149.75</v>
      </c>
      <c r="I46" s="11">
        <f t="shared" si="2"/>
        <v>1.4772650267669718E-2</v>
      </c>
      <c r="J46" s="52">
        <v>929.5</v>
      </c>
      <c r="K46" s="11">
        <f t="shared" si="3"/>
        <v>1.5624158181133385E-3</v>
      </c>
      <c r="L46" s="52">
        <v>117.75</v>
      </c>
      <c r="M46" s="11">
        <f t="shared" si="4"/>
        <v>-3.8913797479062096E-3</v>
      </c>
      <c r="N46" s="52">
        <v>455.45</v>
      </c>
      <c r="O46" s="11">
        <f t="shared" si="5"/>
        <v>-1.5030276816608956E-2</v>
      </c>
    </row>
    <row r="47" spans="2:15" x14ac:dyDescent="0.35">
      <c r="B47" s="56" t="s">
        <v>71</v>
      </c>
      <c r="D47" s="46">
        <v>24180.799999999999</v>
      </c>
      <c r="E47" s="11">
        <f t="shared" si="0"/>
        <v>-5.0834521392261189E-3</v>
      </c>
      <c r="F47" s="52">
        <v>943.85</v>
      </c>
      <c r="G47" s="11">
        <f t="shared" si="1"/>
        <v>-2.5250438913559825E-2</v>
      </c>
      <c r="H47" s="52">
        <v>145.86000000000001</v>
      </c>
      <c r="I47" s="11">
        <f t="shared" si="2"/>
        <v>-2.5976627712854694E-2</v>
      </c>
      <c r="J47" s="52">
        <v>899.05</v>
      </c>
      <c r="K47" s="11">
        <f t="shared" si="3"/>
        <v>-3.2759548144163597E-2</v>
      </c>
      <c r="L47" s="52">
        <v>111.48</v>
      </c>
      <c r="M47" s="11">
        <f t="shared" si="4"/>
        <v>-5.3248407643312068E-2</v>
      </c>
      <c r="N47" s="52">
        <v>462.4</v>
      </c>
      <c r="O47" s="11">
        <f t="shared" si="5"/>
        <v>1.5259633329673949E-2</v>
      </c>
    </row>
    <row r="48" spans="2:15" x14ac:dyDescent="0.35">
      <c r="B48" s="56" t="s">
        <v>72</v>
      </c>
      <c r="D48" s="46">
        <v>24854.05</v>
      </c>
      <c r="E48" s="11">
        <f t="shared" si="0"/>
        <v>2.7842337722490562E-2</v>
      </c>
      <c r="F48" s="52">
        <v>992.6</v>
      </c>
      <c r="G48" s="11">
        <f t="shared" si="1"/>
        <v>5.1650156274831716E-2</v>
      </c>
      <c r="H48" s="52">
        <v>155.38999999999999</v>
      </c>
      <c r="I48" s="11">
        <f t="shared" si="2"/>
        <v>6.53366241601534E-2</v>
      </c>
      <c r="J48" s="52">
        <v>964.5</v>
      </c>
      <c r="K48" s="11">
        <f t="shared" si="3"/>
        <v>7.2799065680440478E-2</v>
      </c>
      <c r="L48" s="52">
        <v>129.03</v>
      </c>
      <c r="M48" s="11">
        <f t="shared" si="4"/>
        <v>0.15742734122712587</v>
      </c>
      <c r="N48" s="52">
        <v>506.6</v>
      </c>
      <c r="O48" s="11">
        <f t="shared" si="5"/>
        <v>9.5588235294117752E-2</v>
      </c>
    </row>
    <row r="49" spans="2:15" x14ac:dyDescent="0.35">
      <c r="B49" s="56">
        <v>45453</v>
      </c>
      <c r="D49" s="46">
        <v>24964.25</v>
      </c>
      <c r="E49" s="11">
        <f t="shared" si="0"/>
        <v>4.4338850207512603E-3</v>
      </c>
      <c r="F49" s="52">
        <v>1012.05</v>
      </c>
      <c r="G49" s="11">
        <f t="shared" si="1"/>
        <v>1.9595003022365498E-2</v>
      </c>
      <c r="H49" s="52">
        <v>160.66</v>
      </c>
      <c r="I49" s="11">
        <f t="shared" si="2"/>
        <v>3.3914666323444198E-2</v>
      </c>
      <c r="J49" s="52">
        <v>1005.85</v>
      </c>
      <c r="K49" s="11">
        <f t="shared" si="3"/>
        <v>4.2871954380508059E-2</v>
      </c>
      <c r="L49" s="52">
        <v>134.03</v>
      </c>
      <c r="M49" s="11">
        <f t="shared" si="4"/>
        <v>3.8750678136867389E-2</v>
      </c>
      <c r="N49" s="52">
        <v>499.5</v>
      </c>
      <c r="O49" s="11">
        <f t="shared" si="5"/>
        <v>-1.4015001973944008E-2</v>
      </c>
    </row>
    <row r="50" spans="2:15" x14ac:dyDescent="0.35">
      <c r="B50" s="56" t="s">
        <v>73</v>
      </c>
      <c r="D50" s="46">
        <v>25014.6</v>
      </c>
      <c r="E50" s="11">
        <f t="shared" si="0"/>
        <v>2.0168841443264363E-3</v>
      </c>
      <c r="F50" s="52">
        <v>1033.75</v>
      </c>
      <c r="G50" s="11">
        <f t="shared" si="1"/>
        <v>2.144162837804453E-2</v>
      </c>
      <c r="H50" s="52">
        <v>166.75</v>
      </c>
      <c r="I50" s="11">
        <f t="shared" si="2"/>
        <v>3.7906137184115618E-2</v>
      </c>
      <c r="J50" s="52">
        <v>1021.1</v>
      </c>
      <c r="K50" s="11">
        <f t="shared" si="3"/>
        <v>1.5161306357806881E-2</v>
      </c>
      <c r="L50" s="52">
        <v>139.01</v>
      </c>
      <c r="M50" s="11">
        <f t="shared" si="4"/>
        <v>3.7155860628217408E-2</v>
      </c>
      <c r="N50" s="52">
        <v>480.2</v>
      </c>
      <c r="O50" s="11">
        <f t="shared" si="5"/>
        <v>-3.86386386386387E-2</v>
      </c>
    </row>
    <row r="51" spans="2:15" x14ac:dyDescent="0.35">
      <c r="B51" s="56" t="s">
        <v>74</v>
      </c>
      <c r="D51" s="46">
        <v>26178.95</v>
      </c>
      <c r="E51" s="11">
        <f t="shared" si="0"/>
        <v>4.6546816659071233E-2</v>
      </c>
      <c r="F51" s="52">
        <v>1001.55</v>
      </c>
      <c r="G51" s="11">
        <f t="shared" si="1"/>
        <v>-3.1148730350665121E-2</v>
      </c>
      <c r="H51" s="52">
        <v>166.55</v>
      </c>
      <c r="I51" s="11">
        <f t="shared" si="2"/>
        <v>-1.1994002998499953E-3</v>
      </c>
      <c r="J51" s="52">
        <v>1028.05</v>
      </c>
      <c r="K51" s="11">
        <f t="shared" si="3"/>
        <v>6.8063852707862527E-3</v>
      </c>
      <c r="L51" s="52">
        <v>140.54</v>
      </c>
      <c r="M51" s="11">
        <f t="shared" si="4"/>
        <v>1.1006402417092387E-2</v>
      </c>
      <c r="N51" s="52">
        <v>439.2</v>
      </c>
      <c r="O51" s="11">
        <f t="shared" si="5"/>
        <v>-8.5381091211994997E-2</v>
      </c>
    </row>
    <row r="52" spans="2:15" x14ac:dyDescent="0.35">
      <c r="B52" s="56" t="s">
        <v>75</v>
      </c>
      <c r="D52" s="46">
        <v>25790.95</v>
      </c>
      <c r="E52" s="11">
        <f t="shared" si="0"/>
        <v>-1.4821068071866894E-2</v>
      </c>
      <c r="F52" s="52">
        <v>981.55</v>
      </c>
      <c r="G52" s="11">
        <f t="shared" si="1"/>
        <v>-1.996904797563781E-2</v>
      </c>
      <c r="H52" s="52">
        <v>152.02000000000001</v>
      </c>
      <c r="I52" s="11">
        <f t="shared" si="2"/>
        <v>-8.7241068748123651E-2</v>
      </c>
      <c r="J52" s="52">
        <v>1009.4</v>
      </c>
      <c r="K52" s="11">
        <f t="shared" si="3"/>
        <v>-1.814114099508779E-2</v>
      </c>
      <c r="L52" s="52">
        <v>126.28</v>
      </c>
      <c r="M52" s="11">
        <f t="shared" si="4"/>
        <v>-0.10146577486836483</v>
      </c>
      <c r="N52" s="52">
        <v>418.2</v>
      </c>
      <c r="O52" s="11">
        <f t="shared" si="5"/>
        <v>-4.7814207650273222E-2</v>
      </c>
    </row>
    <row r="53" spans="2:15" x14ac:dyDescent="0.35">
      <c r="B53" s="56">
        <v>45513</v>
      </c>
      <c r="D53" s="46">
        <v>25356.5</v>
      </c>
      <c r="E53" s="11">
        <f t="shared" si="0"/>
        <v>-1.684505611464493E-2</v>
      </c>
      <c r="F53" s="52">
        <v>954.55</v>
      </c>
      <c r="G53" s="11">
        <f t="shared" si="1"/>
        <v>-2.7507513626407243E-2</v>
      </c>
      <c r="H53" s="52">
        <v>153.49</v>
      </c>
      <c r="I53" s="11">
        <f t="shared" si="2"/>
        <v>9.6697802920668874E-3</v>
      </c>
      <c r="J53" s="52">
        <v>1031.0999999999999</v>
      </c>
      <c r="K53" s="11">
        <f t="shared" si="3"/>
        <v>2.1497919556171974E-2</v>
      </c>
      <c r="L53" s="52">
        <v>132.19999999999999</v>
      </c>
      <c r="M53" s="11">
        <f t="shared" si="4"/>
        <v>4.6879949318973546E-2</v>
      </c>
      <c r="N53" s="52">
        <v>382.6</v>
      </c>
      <c r="O53" s="11">
        <f t="shared" si="5"/>
        <v>-8.5126733620277339E-2</v>
      </c>
    </row>
    <row r="54" spans="2:15" x14ac:dyDescent="0.35">
      <c r="B54" s="56">
        <v>45300</v>
      </c>
      <c r="D54" s="46">
        <v>24852.15</v>
      </c>
      <c r="E54" s="11">
        <f t="shared" si="0"/>
        <v>-1.9890363417664036E-2</v>
      </c>
      <c r="F54" s="52">
        <v>932.8</v>
      </c>
      <c r="G54" s="11">
        <f t="shared" si="1"/>
        <v>-2.2785605782829621E-2</v>
      </c>
      <c r="H54" s="52">
        <v>151.22</v>
      </c>
      <c r="I54" s="11">
        <f t="shared" si="2"/>
        <v>-1.478923708384916E-2</v>
      </c>
      <c r="J54" s="52">
        <v>953.95</v>
      </c>
      <c r="K54" s="11">
        <f t="shared" si="3"/>
        <v>-7.4823004558238648E-2</v>
      </c>
      <c r="L54" s="52">
        <v>129.38</v>
      </c>
      <c r="M54" s="11">
        <f t="shared" si="4"/>
        <v>-2.133131618759454E-2</v>
      </c>
      <c r="N54" s="52">
        <v>355.85</v>
      </c>
      <c r="O54" s="11">
        <f t="shared" si="5"/>
        <v>-6.9916361735493981E-2</v>
      </c>
    </row>
    <row r="55" spans="2:15" x14ac:dyDescent="0.35">
      <c r="B55" s="56" t="s">
        <v>76</v>
      </c>
      <c r="D55" s="46">
        <v>25235.9</v>
      </c>
      <c r="E55" s="11">
        <f t="shared" si="0"/>
        <v>1.544131996628062E-2</v>
      </c>
      <c r="F55" s="52">
        <v>941.1</v>
      </c>
      <c r="G55" s="11">
        <f t="shared" si="1"/>
        <v>8.897941680960697E-3</v>
      </c>
      <c r="H55" s="52">
        <v>152.76</v>
      </c>
      <c r="I55" s="11">
        <f t="shared" si="2"/>
        <v>1.0183838116651245E-2</v>
      </c>
      <c r="J55" s="52">
        <v>970.4</v>
      </c>
      <c r="K55" s="11">
        <f t="shared" si="3"/>
        <v>1.7244090361129949E-2</v>
      </c>
      <c r="L55" s="52">
        <v>133.69</v>
      </c>
      <c r="M55" s="11">
        <f t="shared" si="4"/>
        <v>3.3312722213634238E-2</v>
      </c>
      <c r="N55" s="52">
        <v>351.65</v>
      </c>
      <c r="O55" s="11">
        <f t="shared" si="5"/>
        <v>-1.1802725867640973E-2</v>
      </c>
    </row>
    <row r="56" spans="2:15" x14ac:dyDescent="0.35">
      <c r="B56" s="56" t="s">
        <v>77</v>
      </c>
      <c r="D56" s="46">
        <v>24823.15</v>
      </c>
      <c r="E56" s="11">
        <f t="shared" si="0"/>
        <v>-1.6355667917530181E-2</v>
      </c>
      <c r="F56" s="52">
        <v>941.05</v>
      </c>
      <c r="G56" s="11">
        <f t="shared" si="1"/>
        <v>-5.3129316757050127E-5</v>
      </c>
      <c r="H56" s="52">
        <v>154.19999999999999</v>
      </c>
      <c r="I56" s="11">
        <f t="shared" si="2"/>
        <v>9.4265514532601014E-3</v>
      </c>
      <c r="J56" s="52">
        <v>959.85</v>
      </c>
      <c r="K56" s="11">
        <f t="shared" si="3"/>
        <v>-1.0871805441055149E-2</v>
      </c>
      <c r="L56" s="52">
        <v>131.79</v>
      </c>
      <c r="M56" s="11">
        <f t="shared" si="4"/>
        <v>-1.4211982945620538E-2</v>
      </c>
      <c r="N56" s="52">
        <v>347.2</v>
      </c>
      <c r="O56" s="11">
        <f t="shared" si="5"/>
        <v>-1.2654628181430372E-2</v>
      </c>
    </row>
    <row r="57" spans="2:15" x14ac:dyDescent="0.35">
      <c r="B57" s="56">
        <v>45604</v>
      </c>
      <c r="D57" s="46">
        <v>24541.15</v>
      </c>
      <c r="E57" s="11">
        <f t="shared" si="0"/>
        <v>-1.1360363209342861E-2</v>
      </c>
      <c r="F57" s="52">
        <v>908.45</v>
      </c>
      <c r="G57" s="11">
        <f t="shared" si="1"/>
        <v>-3.4642155039583344E-2</v>
      </c>
      <c r="H57" s="52">
        <v>149.52000000000001</v>
      </c>
      <c r="I57" s="11">
        <f t="shared" si="2"/>
        <v>-3.0350194552529075E-2</v>
      </c>
      <c r="J57" s="52">
        <v>934.5</v>
      </c>
      <c r="K57" s="11">
        <f t="shared" si="3"/>
        <v>-2.6410376621347154E-2</v>
      </c>
      <c r="L57" s="52">
        <v>128.28</v>
      </c>
      <c r="M57" s="11">
        <f t="shared" si="4"/>
        <v>-2.6633280218529398E-2</v>
      </c>
      <c r="N57" s="52">
        <v>337.15</v>
      </c>
      <c r="O57" s="11">
        <f t="shared" si="5"/>
        <v>-2.8945852534562277E-2</v>
      </c>
    </row>
    <row r="58" spans="2:15" x14ac:dyDescent="0.35">
      <c r="B58" s="56">
        <v>45390</v>
      </c>
      <c r="D58" s="46">
        <v>24367.5</v>
      </c>
      <c r="E58" s="11">
        <f t="shared" si="0"/>
        <v>-7.0758705276647849E-3</v>
      </c>
      <c r="F58" s="52">
        <v>905.1</v>
      </c>
      <c r="G58" s="11">
        <f t="shared" si="1"/>
        <v>-3.6875997578292852E-3</v>
      </c>
      <c r="H58" s="52">
        <v>151.81</v>
      </c>
      <c r="I58" s="11">
        <f t="shared" si="2"/>
        <v>1.5315676832530656E-2</v>
      </c>
      <c r="J58" s="52">
        <v>916.2</v>
      </c>
      <c r="K58" s="11">
        <f t="shared" si="3"/>
        <v>-1.9582664526484717E-2</v>
      </c>
      <c r="L58" s="52">
        <v>129.35</v>
      </c>
      <c r="M58" s="11">
        <f t="shared" si="4"/>
        <v>8.3411287807919621E-3</v>
      </c>
      <c r="N58" s="52">
        <v>277.35000000000002</v>
      </c>
      <c r="O58" s="11">
        <f t="shared" si="5"/>
        <v>-0.17736912353551815</v>
      </c>
    </row>
    <row r="59" spans="2:15" x14ac:dyDescent="0.35">
      <c r="B59" s="56" t="s">
        <v>78</v>
      </c>
      <c r="D59" s="46">
        <v>24717.7</v>
      </c>
      <c r="E59" s="11">
        <f t="shared" si="0"/>
        <v>1.4371601518415877E-2</v>
      </c>
      <c r="F59" s="52">
        <v>899.55</v>
      </c>
      <c r="G59" s="11">
        <f t="shared" si="1"/>
        <v>-6.1319191249586957E-3</v>
      </c>
      <c r="H59" s="52">
        <v>158.22</v>
      </c>
      <c r="I59" s="11">
        <f t="shared" si="2"/>
        <v>4.2223832422106478E-2</v>
      </c>
      <c r="J59" s="52">
        <v>956.75</v>
      </c>
      <c r="K59" s="11">
        <f t="shared" si="3"/>
        <v>4.4258895437677248E-2</v>
      </c>
      <c r="L59" s="52">
        <v>146.22999999999999</v>
      </c>
      <c r="M59" s="11">
        <f t="shared" si="4"/>
        <v>0.13049864708156167</v>
      </c>
      <c r="N59" s="52">
        <v>259.39999999999998</v>
      </c>
      <c r="O59" s="11">
        <f t="shared" si="5"/>
        <v>-6.4719668289165422E-2</v>
      </c>
    </row>
    <row r="60" spans="2:15" x14ac:dyDescent="0.35">
      <c r="B60" s="56" t="s">
        <v>79</v>
      </c>
      <c r="D60" s="46">
        <v>24834.85</v>
      </c>
      <c r="E60" s="11">
        <f t="shared" si="0"/>
        <v>4.7395186445340354E-3</v>
      </c>
      <c r="F60" s="52">
        <v>900.55</v>
      </c>
      <c r="G60" s="11">
        <f t="shared" si="1"/>
        <v>1.1116669445834226E-3</v>
      </c>
      <c r="H60" s="52">
        <v>162.55000000000001</v>
      </c>
      <c r="I60" s="11">
        <f t="shared" si="2"/>
        <v>2.7366957401087078E-2</v>
      </c>
      <c r="J60" s="52">
        <v>972.35</v>
      </c>
      <c r="K60" s="11">
        <f t="shared" si="3"/>
        <v>1.6305199895479516E-2</v>
      </c>
      <c r="L60" s="52">
        <v>147.38999999999999</v>
      </c>
      <c r="M60" s="11">
        <f t="shared" si="4"/>
        <v>7.9327087464953205E-3</v>
      </c>
      <c r="N60" s="52">
        <v>275.05</v>
      </c>
      <c r="O60" s="11">
        <f t="shared" si="5"/>
        <v>6.03315343099462E-2</v>
      </c>
    </row>
    <row r="61" spans="2:15" x14ac:dyDescent="0.35">
      <c r="B61" s="56" t="s">
        <v>80</v>
      </c>
      <c r="D61" s="46">
        <v>24530.9</v>
      </c>
      <c r="E61" s="11">
        <f t="shared" si="0"/>
        <v>-1.2238849842056476E-2</v>
      </c>
      <c r="F61" s="52">
        <v>889.45</v>
      </c>
      <c r="G61" s="11">
        <f t="shared" si="1"/>
        <v>-1.2325800899450234E-2</v>
      </c>
      <c r="H61" s="52">
        <v>157.77000000000001</v>
      </c>
      <c r="I61" s="11">
        <f t="shared" si="2"/>
        <v>-2.9406336511842546E-2</v>
      </c>
      <c r="J61" s="52">
        <v>946.35</v>
      </c>
      <c r="K61" s="11">
        <f t="shared" si="3"/>
        <v>-2.6739342829228185E-2</v>
      </c>
      <c r="L61" s="52">
        <v>141.82</v>
      </c>
      <c r="M61" s="11">
        <f t="shared" si="4"/>
        <v>-3.7790894904674577E-2</v>
      </c>
      <c r="N61" s="52">
        <v>271.47000000000003</v>
      </c>
      <c r="O61" s="11">
        <f t="shared" si="5"/>
        <v>-1.301581530630791E-2</v>
      </c>
    </row>
    <row r="62" spans="2:15" x14ac:dyDescent="0.35">
      <c r="B62" s="56">
        <v>45480</v>
      </c>
      <c r="D62" s="46">
        <v>24502.15</v>
      </c>
      <c r="E62" s="11">
        <f t="shared" si="0"/>
        <v>-1.1719912436967128E-3</v>
      </c>
      <c r="F62" s="52">
        <v>934.4</v>
      </c>
      <c r="G62" s="11">
        <f t="shared" si="1"/>
        <v>5.0536848614312069E-2</v>
      </c>
      <c r="H62" s="52">
        <v>168.69</v>
      </c>
      <c r="I62" s="11">
        <f t="shared" si="2"/>
        <v>6.9214679596881545E-2</v>
      </c>
      <c r="J62" s="52">
        <v>1013.9</v>
      </c>
      <c r="K62" s="11">
        <f t="shared" si="3"/>
        <v>7.1379510751836017E-2</v>
      </c>
      <c r="L62" s="52">
        <v>150.41999999999999</v>
      </c>
      <c r="M62" s="11">
        <f t="shared" si="4"/>
        <v>6.0640248201946134E-2</v>
      </c>
      <c r="N62" s="52">
        <v>274.01</v>
      </c>
      <c r="O62" s="11">
        <f t="shared" si="5"/>
        <v>9.3564666445646871E-3</v>
      </c>
    </row>
    <row r="63" spans="2:15" x14ac:dyDescent="0.35">
      <c r="B63" s="56" t="s">
        <v>81</v>
      </c>
      <c r="D63" s="46">
        <v>24323.85</v>
      </c>
      <c r="E63" s="11">
        <f t="shared" si="0"/>
        <v>-7.2769124342150215E-3</v>
      </c>
      <c r="F63" s="52">
        <v>954.05</v>
      </c>
      <c r="G63" s="11">
        <f t="shared" si="1"/>
        <v>2.1029537671232834E-2</v>
      </c>
      <c r="H63" s="52">
        <v>174.71</v>
      </c>
      <c r="I63" s="11">
        <f t="shared" si="2"/>
        <v>3.5686762700812169E-2</v>
      </c>
      <c r="J63" s="52">
        <v>1050.5</v>
      </c>
      <c r="K63" s="11">
        <f t="shared" si="3"/>
        <v>3.6098234539895468E-2</v>
      </c>
      <c r="L63" s="52">
        <v>155.61000000000001</v>
      </c>
      <c r="M63" s="11">
        <f t="shared" si="4"/>
        <v>3.4503390506581688E-2</v>
      </c>
      <c r="N63" s="52">
        <v>245.99</v>
      </c>
      <c r="O63" s="11">
        <f t="shared" si="5"/>
        <v>-0.10225904164081601</v>
      </c>
    </row>
    <row r="64" spans="2:15" x14ac:dyDescent="0.35">
      <c r="B64" s="56" t="s">
        <v>82</v>
      </c>
      <c r="D64" s="46">
        <v>24010.6</v>
      </c>
      <c r="E64" s="11">
        <f t="shared" si="0"/>
        <v>-1.2878306682535867E-2</v>
      </c>
      <c r="F64" s="52">
        <v>931.5</v>
      </c>
      <c r="G64" s="11">
        <f t="shared" si="1"/>
        <v>-2.363607777370158E-2</v>
      </c>
      <c r="H64" s="52">
        <v>174.01</v>
      </c>
      <c r="I64" s="11">
        <f t="shared" si="2"/>
        <v>-4.0066395741515937E-3</v>
      </c>
      <c r="J64" s="52">
        <v>1044.4000000000001</v>
      </c>
      <c r="K64" s="11">
        <f t="shared" si="3"/>
        <v>-5.8067586863397302E-3</v>
      </c>
      <c r="L64" s="52">
        <v>148.65</v>
      </c>
      <c r="M64" s="11">
        <f t="shared" si="4"/>
        <v>-4.4727202621939521E-2</v>
      </c>
      <c r="N64" s="52">
        <v>232.58</v>
      </c>
      <c r="O64" s="11">
        <f t="shared" si="5"/>
        <v>-5.4514411154924947E-2</v>
      </c>
    </row>
    <row r="65" spans="2:15" x14ac:dyDescent="0.35">
      <c r="B65" s="56" t="s">
        <v>83</v>
      </c>
      <c r="D65" s="46">
        <v>23501.1</v>
      </c>
      <c r="E65" s="11">
        <f t="shared" si="0"/>
        <v>-2.1219794590722429E-2</v>
      </c>
      <c r="F65" s="52">
        <v>936.9</v>
      </c>
      <c r="G65" s="11">
        <f t="shared" si="1"/>
        <v>5.7971014492752548E-3</v>
      </c>
      <c r="H65" s="52">
        <v>179.94</v>
      </c>
      <c r="I65" s="11">
        <f t="shared" si="2"/>
        <v>3.4078501235561109E-2</v>
      </c>
      <c r="J65" s="52">
        <v>1077.25</v>
      </c>
      <c r="K65" s="11">
        <f t="shared" si="3"/>
        <v>3.1453466104940597E-2</v>
      </c>
      <c r="L65" s="52">
        <v>155.44</v>
      </c>
      <c r="M65" s="11">
        <f t="shared" si="4"/>
        <v>4.5677766565758393E-2</v>
      </c>
      <c r="N65" s="52">
        <v>226.35</v>
      </c>
      <c r="O65" s="11">
        <f t="shared" si="5"/>
        <v>-2.6786482070685458E-2</v>
      </c>
    </row>
    <row r="66" spans="2:15" x14ac:dyDescent="0.35">
      <c r="B66" s="56">
        <v>45541</v>
      </c>
      <c r="D66" s="46">
        <v>23465.599999999999</v>
      </c>
      <c r="E66" s="11">
        <f t="shared" si="0"/>
        <v>-1.5105675904532045E-3</v>
      </c>
      <c r="F66" s="52">
        <v>921.15</v>
      </c>
      <c r="G66" s="11">
        <f t="shared" si="1"/>
        <v>-1.6810758885686838E-2</v>
      </c>
      <c r="H66" s="52">
        <v>183.15</v>
      </c>
      <c r="I66" s="11">
        <f t="shared" si="2"/>
        <v>1.7839279759920057E-2</v>
      </c>
      <c r="J66" s="52">
        <v>1052.45</v>
      </c>
      <c r="K66" s="11">
        <f t="shared" si="3"/>
        <v>-2.302158273381294E-2</v>
      </c>
      <c r="L66" s="52">
        <v>153.63</v>
      </c>
      <c r="M66" s="11">
        <f t="shared" si="4"/>
        <v>-1.1644364384971739E-2</v>
      </c>
      <c r="N66" s="52">
        <v>236.05</v>
      </c>
      <c r="O66" s="11">
        <f t="shared" si="5"/>
        <v>4.2853987187983389E-2</v>
      </c>
    </row>
    <row r="67" spans="2:15" x14ac:dyDescent="0.35">
      <c r="B67" s="56">
        <v>45328</v>
      </c>
      <c r="D67" s="46">
        <v>23290.15</v>
      </c>
      <c r="E67" s="11">
        <f t="shared" si="0"/>
        <v>-7.4769023591980677E-3</v>
      </c>
      <c r="F67" s="52">
        <v>912.15</v>
      </c>
      <c r="G67" s="11">
        <f t="shared" si="1"/>
        <v>-9.7703957010258913E-3</v>
      </c>
      <c r="H67" s="52">
        <v>178.9</v>
      </c>
      <c r="I67" s="11">
        <f t="shared" si="2"/>
        <v>-2.3205023205023156E-2</v>
      </c>
      <c r="J67" s="52">
        <v>1026.95</v>
      </c>
      <c r="K67" s="11">
        <f t="shared" si="3"/>
        <v>-2.422917953346948E-2</v>
      </c>
      <c r="L67" s="52">
        <v>152.75</v>
      </c>
      <c r="M67" s="11">
        <f t="shared" si="4"/>
        <v>-5.7280479073097412E-3</v>
      </c>
      <c r="N67" s="52">
        <v>220.75</v>
      </c>
      <c r="O67" s="11">
        <f t="shared" si="5"/>
        <v>-6.4816776106757068E-2</v>
      </c>
    </row>
    <row r="68" spans="2:15" x14ac:dyDescent="0.35">
      <c r="B68" s="56" t="s">
        <v>84</v>
      </c>
      <c r="D68" s="46">
        <v>22530.7</v>
      </c>
      <c r="E68" s="11">
        <f t="shared" si="0"/>
        <v>-3.2608205614820029E-2</v>
      </c>
      <c r="F68" s="52">
        <v>880.55</v>
      </c>
      <c r="G68" s="11">
        <f t="shared" si="1"/>
        <v>-3.4643424875294704E-2</v>
      </c>
      <c r="H68" s="52">
        <v>167.2</v>
      </c>
      <c r="I68" s="11">
        <f t="shared" si="2"/>
        <v>-6.5399664617104669E-2</v>
      </c>
      <c r="J68" s="52">
        <v>1028.1500000000001</v>
      </c>
      <c r="K68" s="11">
        <f t="shared" si="3"/>
        <v>1.168508690783332E-3</v>
      </c>
      <c r="L68" s="52">
        <v>158.5</v>
      </c>
      <c r="M68" s="11">
        <f t="shared" si="4"/>
        <v>3.7643207855973859E-2</v>
      </c>
      <c r="N68" s="52">
        <v>223.95</v>
      </c>
      <c r="O68" s="11">
        <f t="shared" si="5"/>
        <v>1.4496036240090548E-2</v>
      </c>
    </row>
    <row r="69" spans="2:15" x14ac:dyDescent="0.35">
      <c r="B69" s="56" t="s">
        <v>85</v>
      </c>
      <c r="D69" s="46">
        <v>22957.1</v>
      </c>
      <c r="E69" s="11">
        <f t="shared" si="0"/>
        <v>1.8925288606212787E-2</v>
      </c>
      <c r="F69" s="52">
        <v>908.65</v>
      </c>
      <c r="G69" s="11">
        <f t="shared" si="1"/>
        <v>3.1911873261029955E-2</v>
      </c>
      <c r="H69" s="52">
        <v>174.85</v>
      </c>
      <c r="I69" s="11">
        <f t="shared" si="2"/>
        <v>4.575358851674638E-2</v>
      </c>
      <c r="J69" s="52">
        <v>1069.2</v>
      </c>
      <c r="K69" s="11">
        <f t="shared" si="3"/>
        <v>3.9926080824782328E-2</v>
      </c>
      <c r="L69" s="52">
        <v>169.5</v>
      </c>
      <c r="M69" s="11">
        <f t="shared" si="4"/>
        <v>6.9400630914826511E-2</v>
      </c>
      <c r="N69" s="52">
        <v>264.10000000000002</v>
      </c>
      <c r="O69" s="11">
        <f t="shared" si="5"/>
        <v>0.17928108952891297</v>
      </c>
    </row>
    <row r="70" spans="2:15" x14ac:dyDescent="0.35">
      <c r="B70" s="56">
        <v>45631</v>
      </c>
      <c r="D70" s="46">
        <v>22466.1</v>
      </c>
      <c r="E70" s="11">
        <f t="shared" si="0"/>
        <v>-2.1387718832082458E-2</v>
      </c>
      <c r="F70" s="52">
        <v>907.45</v>
      </c>
      <c r="G70" s="11">
        <f t="shared" si="1"/>
        <v>-1.3206405106476193E-3</v>
      </c>
      <c r="H70" s="52">
        <v>167.35</v>
      </c>
      <c r="I70" s="11">
        <f t="shared" si="2"/>
        <v>-4.289390906491275E-2</v>
      </c>
      <c r="J70" s="52">
        <v>1015.5</v>
      </c>
      <c r="K70" s="11">
        <f t="shared" si="3"/>
        <v>-5.0224466891133579E-2</v>
      </c>
      <c r="L70" s="52">
        <v>166.9</v>
      </c>
      <c r="M70" s="11">
        <f t="shared" si="4"/>
        <v>-1.5339233038348055E-2</v>
      </c>
      <c r="N70" s="52">
        <v>267.14999999999998</v>
      </c>
      <c r="O70" s="11">
        <f t="shared" si="5"/>
        <v>1.1548655812192221E-2</v>
      </c>
    </row>
    <row r="71" spans="2:15" x14ac:dyDescent="0.35">
      <c r="B71" s="56">
        <v>45417</v>
      </c>
      <c r="D71" s="46">
        <v>22055.200000000001</v>
      </c>
      <c r="E71" s="11">
        <f t="shared" si="0"/>
        <v>-1.8289778822314418E-2</v>
      </c>
      <c r="F71" s="52">
        <v>853.6</v>
      </c>
      <c r="G71" s="11">
        <f t="shared" si="1"/>
        <v>-5.9342112513086187E-2</v>
      </c>
      <c r="H71" s="52">
        <v>162.25</v>
      </c>
      <c r="I71" s="11">
        <f t="shared" si="2"/>
        <v>-3.0475052285628856E-2</v>
      </c>
      <c r="J71" s="52">
        <v>930.55</v>
      </c>
      <c r="K71" s="11">
        <f t="shared" si="3"/>
        <v>-8.3653372722796715E-2</v>
      </c>
      <c r="L71" s="52">
        <v>156.9</v>
      </c>
      <c r="M71" s="11">
        <f t="shared" si="4"/>
        <v>-5.9916117435590222E-2</v>
      </c>
      <c r="N71" s="52">
        <v>268.95</v>
      </c>
      <c r="O71" s="11">
        <f t="shared" si="5"/>
        <v>6.7377877596856983E-3</v>
      </c>
    </row>
    <row r="72" spans="2:15" x14ac:dyDescent="0.35">
      <c r="B72" s="56" t="s">
        <v>86</v>
      </c>
      <c r="D72" s="46">
        <v>22475.85</v>
      </c>
      <c r="E72" s="11">
        <f t="shared" si="0"/>
        <v>1.9072599659037293E-2</v>
      </c>
      <c r="F72" s="52">
        <v>874.2</v>
      </c>
      <c r="G72" s="11">
        <f t="shared" si="1"/>
        <v>2.4133083411433942E-2</v>
      </c>
      <c r="H72" s="52">
        <v>166.5</v>
      </c>
      <c r="I72" s="11">
        <f t="shared" si="2"/>
        <v>2.6194144838212585E-2</v>
      </c>
      <c r="J72" s="52">
        <v>931.5</v>
      </c>
      <c r="K72" s="11">
        <f t="shared" si="3"/>
        <v>1.0209016173230445E-3</v>
      </c>
      <c r="L72" s="52">
        <v>167.95</v>
      </c>
      <c r="M72" s="11">
        <f t="shared" si="4"/>
        <v>7.0427023581899117E-2</v>
      </c>
      <c r="N72" s="52">
        <v>267.45</v>
      </c>
      <c r="O72" s="11">
        <f t="shared" si="5"/>
        <v>-5.5772448410484898E-3</v>
      </c>
    </row>
    <row r="73" spans="2:15" x14ac:dyDescent="0.35">
      <c r="B73" s="56" t="s">
        <v>87</v>
      </c>
      <c r="D73" s="46">
        <v>22419.95</v>
      </c>
      <c r="E73" s="11">
        <f t="shared" si="0"/>
        <v>-2.4871139467471659E-3</v>
      </c>
      <c r="F73" s="52">
        <v>887.25</v>
      </c>
      <c r="G73" s="11">
        <f t="shared" si="1"/>
        <v>1.4927934111187424E-2</v>
      </c>
      <c r="H73" s="52">
        <v>165.8</v>
      </c>
      <c r="I73" s="11">
        <f t="shared" si="2"/>
        <v>-4.2042042042040872E-3</v>
      </c>
      <c r="J73" s="52">
        <v>931.85</v>
      </c>
      <c r="K73" s="11">
        <f t="shared" si="3"/>
        <v>3.7573805689761208E-4</v>
      </c>
      <c r="L73" s="52">
        <v>168.55</v>
      </c>
      <c r="M73" s="11">
        <f t="shared" si="4"/>
        <v>3.5724918130397576E-3</v>
      </c>
      <c r="N73" s="52">
        <v>232.15</v>
      </c>
      <c r="O73" s="11">
        <f t="shared" si="5"/>
        <v>-0.13198728734342857</v>
      </c>
    </row>
    <row r="74" spans="2:15" x14ac:dyDescent="0.35">
      <c r="B74" s="56" t="s">
        <v>88</v>
      </c>
      <c r="D74" s="46">
        <v>22147</v>
      </c>
      <c r="E74" s="11">
        <f t="shared" si="0"/>
        <v>-1.2174425009868428E-2</v>
      </c>
      <c r="F74" s="52">
        <v>864.8</v>
      </c>
      <c r="G74" s="11">
        <f t="shared" si="1"/>
        <v>-2.5302902225979196E-2</v>
      </c>
      <c r="H74" s="52">
        <v>162.1</v>
      </c>
      <c r="I74" s="11">
        <f t="shared" si="2"/>
        <v>-2.231604342581428E-2</v>
      </c>
      <c r="J74" s="52">
        <v>927.25</v>
      </c>
      <c r="K74" s="11">
        <f t="shared" si="3"/>
        <v>-4.9364168052798973E-3</v>
      </c>
      <c r="L74" s="52">
        <v>146.05000000000001</v>
      </c>
      <c r="M74" s="11">
        <f t="shared" si="4"/>
        <v>-0.1334915455354494</v>
      </c>
      <c r="N74" s="52">
        <v>222.75</v>
      </c>
      <c r="O74" s="11">
        <f t="shared" si="5"/>
        <v>-4.049106181348272E-2</v>
      </c>
    </row>
    <row r="75" spans="2:15" x14ac:dyDescent="0.35">
      <c r="B75" s="56">
        <v>45477</v>
      </c>
      <c r="D75" s="46">
        <v>22519.4</v>
      </c>
      <c r="E75" s="11">
        <f t="shared" si="0"/>
        <v>1.6814918499119536E-2</v>
      </c>
      <c r="F75" s="52">
        <v>866.45</v>
      </c>
      <c r="G75" s="11">
        <f t="shared" si="1"/>
        <v>1.9079555966698969E-3</v>
      </c>
      <c r="H75" s="52">
        <v>163.5</v>
      </c>
      <c r="I75" s="11">
        <f t="shared" si="2"/>
        <v>8.6366440468845784E-3</v>
      </c>
      <c r="J75" s="52">
        <v>897.55</v>
      </c>
      <c r="K75" s="11">
        <f t="shared" si="3"/>
        <v>-3.2030196818549572E-2</v>
      </c>
      <c r="L75" s="52">
        <v>155.35</v>
      </c>
      <c r="M75" s="11">
        <f t="shared" si="4"/>
        <v>6.3676823005819783E-2</v>
      </c>
      <c r="N75" s="52">
        <v>227.4</v>
      </c>
      <c r="O75" s="11">
        <f t="shared" si="5"/>
        <v>2.0875420875420936E-2</v>
      </c>
    </row>
    <row r="76" spans="2:15" x14ac:dyDescent="0.35">
      <c r="B76" s="56" t="s">
        <v>89</v>
      </c>
      <c r="D76" s="46">
        <v>22513.7</v>
      </c>
      <c r="E76" s="11">
        <f t="shared" si="0"/>
        <v>-2.5311509187642134E-4</v>
      </c>
      <c r="F76" s="52">
        <v>857.1</v>
      </c>
      <c r="G76" s="11">
        <f t="shared" si="1"/>
        <v>-1.0791159328293665E-2</v>
      </c>
      <c r="H76" s="52">
        <v>163.35</v>
      </c>
      <c r="I76" s="11">
        <f t="shared" si="2"/>
        <v>-9.1743119266063378E-4</v>
      </c>
      <c r="J76" s="52">
        <v>915.75</v>
      </c>
      <c r="K76" s="11">
        <f t="shared" si="3"/>
        <v>2.0277421870647849E-2</v>
      </c>
      <c r="L76" s="52">
        <v>146.19999999999999</v>
      </c>
      <c r="M76" s="11">
        <f t="shared" si="4"/>
        <v>-5.8899259736079901E-2</v>
      </c>
      <c r="N76" s="52">
        <v>219.3</v>
      </c>
      <c r="O76" s="11">
        <f t="shared" si="5"/>
        <v>-3.5620052770448551E-2</v>
      </c>
    </row>
    <row r="77" spans="2:15" x14ac:dyDescent="0.35">
      <c r="B77" s="56" t="s">
        <v>90</v>
      </c>
      <c r="D77" s="46">
        <v>22326.9</v>
      </c>
      <c r="E77" s="11">
        <f t="shared" si="0"/>
        <v>-8.2971701674979803E-3</v>
      </c>
      <c r="F77" s="52">
        <v>830.2</v>
      </c>
      <c r="G77" s="11">
        <f t="shared" si="1"/>
        <v>-3.138490257846227E-2</v>
      </c>
      <c r="H77" s="52">
        <v>155.85</v>
      </c>
      <c r="I77" s="11">
        <f t="shared" si="2"/>
        <v>-4.5913682277318624E-2</v>
      </c>
      <c r="J77" s="52">
        <v>849.15</v>
      </c>
      <c r="K77" s="11">
        <f t="shared" si="3"/>
        <v>-7.2727272727272751E-2</v>
      </c>
      <c r="L77" s="52">
        <v>134.25</v>
      </c>
      <c r="M77" s="11">
        <f t="shared" si="4"/>
        <v>-8.1737346101231068E-2</v>
      </c>
      <c r="N77" s="52">
        <v>202.85</v>
      </c>
      <c r="O77" s="11">
        <f t="shared" si="5"/>
        <v>-7.5011399908800791E-2</v>
      </c>
    </row>
    <row r="78" spans="2:15" x14ac:dyDescent="0.35">
      <c r="B78" s="56" t="s">
        <v>91</v>
      </c>
      <c r="D78" s="46">
        <v>22096.75</v>
      </c>
      <c r="E78" s="11">
        <f t="shared" si="0"/>
        <v>-1.0308193255669229E-2</v>
      </c>
      <c r="F78" s="52">
        <v>824.8</v>
      </c>
      <c r="G78" s="11">
        <f t="shared" si="1"/>
        <v>-6.5044567574079615E-3</v>
      </c>
      <c r="H78" s="52">
        <v>151.80000000000001</v>
      </c>
      <c r="I78" s="11">
        <f t="shared" si="2"/>
        <v>-2.5986525505293456E-2</v>
      </c>
      <c r="J78" s="52">
        <v>832.9</v>
      </c>
      <c r="K78" s="11">
        <f t="shared" si="3"/>
        <v>-1.913678384266615E-2</v>
      </c>
      <c r="L78" s="52">
        <v>130</v>
      </c>
      <c r="M78" s="11">
        <f t="shared" si="4"/>
        <v>-3.1657355679702071E-2</v>
      </c>
      <c r="N78" s="52">
        <v>217.1</v>
      </c>
      <c r="O78" s="11">
        <f t="shared" si="5"/>
        <v>7.0248952427902411E-2</v>
      </c>
    </row>
    <row r="79" spans="2:15" x14ac:dyDescent="0.35">
      <c r="B79" s="56">
        <v>45568</v>
      </c>
      <c r="D79" s="46">
        <v>22023.35</v>
      </c>
      <c r="E79" s="11">
        <f t="shared" ref="E79:E142" si="6">D79/D78-1</f>
        <v>-3.3217554617761547E-3</v>
      </c>
      <c r="F79" s="52">
        <v>780.65</v>
      </c>
      <c r="G79" s="11">
        <f t="shared" ref="G79:G142" si="7">F79/F78-1</f>
        <v>-5.3528128031037792E-2</v>
      </c>
      <c r="H79" s="52">
        <v>141.69999999999999</v>
      </c>
      <c r="I79" s="11">
        <f t="shared" ref="I79:I142" si="8">H79/H78-1</f>
        <v>-6.6534914361001452E-2</v>
      </c>
      <c r="J79" s="52">
        <v>767.75</v>
      </c>
      <c r="K79" s="11">
        <f t="shared" ref="K79:K142" si="9">J79/J78-1</f>
        <v>-7.8220674750870467E-2</v>
      </c>
      <c r="L79" s="52">
        <v>121.7</v>
      </c>
      <c r="M79" s="11">
        <f t="shared" ref="M79:M142" si="10">L79/L78-1</f>
        <v>-6.3846153846153775E-2</v>
      </c>
      <c r="N79" s="52">
        <v>199.95</v>
      </c>
      <c r="O79" s="11">
        <f t="shared" ref="O79:O142" si="11">N79/N78-1</f>
        <v>-7.8995854444956271E-2</v>
      </c>
    </row>
    <row r="80" spans="2:15" x14ac:dyDescent="0.35">
      <c r="B80" s="56">
        <v>45354</v>
      </c>
      <c r="D80" s="46">
        <v>22493.55</v>
      </c>
      <c r="E80" s="11">
        <f t="shared" si="6"/>
        <v>2.1350067087886337E-2</v>
      </c>
      <c r="F80" s="52">
        <v>830</v>
      </c>
      <c r="G80" s="11">
        <f t="shared" si="7"/>
        <v>6.3216550310638553E-2</v>
      </c>
      <c r="H80" s="52">
        <v>157.25</v>
      </c>
      <c r="I80" s="11">
        <f t="shared" si="8"/>
        <v>0.1097388849682428</v>
      </c>
      <c r="J80" s="52">
        <v>839</v>
      </c>
      <c r="K80" s="11">
        <f t="shared" si="9"/>
        <v>9.2803647020514468E-2</v>
      </c>
      <c r="L80" s="52">
        <v>138.94999999999999</v>
      </c>
      <c r="M80" s="11">
        <f t="shared" si="10"/>
        <v>0.14174198849630226</v>
      </c>
      <c r="N80" s="52">
        <v>208.7</v>
      </c>
      <c r="O80" s="11">
        <f t="shared" si="11"/>
        <v>4.3760940235058721E-2</v>
      </c>
    </row>
    <row r="81" spans="2:15" x14ac:dyDescent="0.35">
      <c r="B81" s="56" t="s">
        <v>92</v>
      </c>
      <c r="D81" s="46">
        <v>22338.75</v>
      </c>
      <c r="E81" s="11">
        <f t="shared" si="6"/>
        <v>-6.8819728322118134E-3</v>
      </c>
      <c r="F81" s="52">
        <v>836.2</v>
      </c>
      <c r="G81" s="11">
        <f t="shared" si="7"/>
        <v>7.4698795180723199E-3</v>
      </c>
      <c r="H81" s="52">
        <v>149.94999999999999</v>
      </c>
      <c r="I81" s="11">
        <f t="shared" si="8"/>
        <v>-4.6422893481717131E-2</v>
      </c>
      <c r="J81" s="52">
        <v>822.85</v>
      </c>
      <c r="K81" s="11">
        <f t="shared" si="9"/>
        <v>-1.9249106078665035E-2</v>
      </c>
      <c r="L81" s="52">
        <v>133</v>
      </c>
      <c r="M81" s="11">
        <f t="shared" si="10"/>
        <v>-4.282115869017622E-2</v>
      </c>
      <c r="N81" s="52">
        <v>215.7</v>
      </c>
      <c r="O81" s="11">
        <f t="shared" si="11"/>
        <v>3.3540967896502183E-2</v>
      </c>
    </row>
    <row r="82" spans="2:15" x14ac:dyDescent="0.35">
      <c r="B82" s="56" t="s">
        <v>93</v>
      </c>
      <c r="D82" s="46">
        <v>22212.7</v>
      </c>
      <c r="E82" s="11">
        <f t="shared" si="6"/>
        <v>-5.6426612948351496E-3</v>
      </c>
      <c r="F82" s="52">
        <v>821</v>
      </c>
      <c r="G82" s="11">
        <f t="shared" si="7"/>
        <v>-1.8177469504903176E-2</v>
      </c>
      <c r="H82" s="52">
        <v>145.44999999999999</v>
      </c>
      <c r="I82" s="11">
        <f t="shared" si="8"/>
        <v>-3.0010003334444812E-2</v>
      </c>
      <c r="J82" s="52">
        <v>786.55</v>
      </c>
      <c r="K82" s="11">
        <f t="shared" si="9"/>
        <v>-4.4114966275748957E-2</v>
      </c>
      <c r="L82" s="52">
        <v>128</v>
      </c>
      <c r="M82" s="11">
        <f t="shared" si="10"/>
        <v>-3.7593984962406068E-2</v>
      </c>
      <c r="N82" s="52">
        <v>214.25</v>
      </c>
      <c r="O82" s="11">
        <f t="shared" si="11"/>
        <v>-6.7222994900324462E-3</v>
      </c>
    </row>
    <row r="83" spans="2:15" x14ac:dyDescent="0.35">
      <c r="B83" s="56">
        <v>45598</v>
      </c>
      <c r="D83" s="46">
        <v>22040.7</v>
      </c>
      <c r="E83" s="11">
        <f t="shared" si="6"/>
        <v>-7.7433180117680855E-3</v>
      </c>
      <c r="F83" s="52">
        <v>819.95</v>
      </c>
      <c r="G83" s="11">
        <f t="shared" si="7"/>
        <v>-1.2789281364189442E-3</v>
      </c>
      <c r="H83" s="52">
        <v>142.30000000000001</v>
      </c>
      <c r="I83" s="11">
        <f t="shared" si="8"/>
        <v>-2.1656926778961694E-2</v>
      </c>
      <c r="J83" s="52">
        <v>769.5</v>
      </c>
      <c r="K83" s="11">
        <f t="shared" si="9"/>
        <v>-2.1676943614518995E-2</v>
      </c>
      <c r="L83" s="52">
        <v>127.45</v>
      </c>
      <c r="M83" s="11">
        <f t="shared" si="10"/>
        <v>-4.2968749999999778E-3</v>
      </c>
      <c r="N83" s="52">
        <v>228.55</v>
      </c>
      <c r="O83" s="11">
        <f t="shared" si="11"/>
        <v>6.6744457409568358E-2</v>
      </c>
    </row>
    <row r="84" spans="2:15" x14ac:dyDescent="0.35">
      <c r="B84" s="56">
        <v>45384</v>
      </c>
      <c r="D84" s="46">
        <v>21782.5</v>
      </c>
      <c r="E84" s="11">
        <f t="shared" si="6"/>
        <v>-1.1714691457167858E-2</v>
      </c>
      <c r="F84" s="52">
        <v>811.75</v>
      </c>
      <c r="G84" s="11">
        <f t="shared" si="7"/>
        <v>-1.0000609793280102E-2</v>
      </c>
      <c r="H84" s="52">
        <v>141.30000000000001</v>
      </c>
      <c r="I84" s="11">
        <f t="shared" si="8"/>
        <v>-7.0274068868587669E-3</v>
      </c>
      <c r="J84" s="52">
        <v>761.45</v>
      </c>
      <c r="K84" s="11">
        <f t="shared" si="9"/>
        <v>-1.0461338531513875E-2</v>
      </c>
      <c r="L84" s="52">
        <v>133.65</v>
      </c>
      <c r="M84" s="11">
        <f t="shared" si="10"/>
        <v>4.8646528050215743E-2</v>
      </c>
      <c r="N84" s="52">
        <v>220.65</v>
      </c>
      <c r="O84" s="11">
        <f t="shared" si="11"/>
        <v>-3.4565740538175516E-2</v>
      </c>
    </row>
    <row r="85" spans="2:15" x14ac:dyDescent="0.35">
      <c r="B85" s="56" t="s">
        <v>94</v>
      </c>
      <c r="D85" s="46">
        <v>21853.8</v>
      </c>
      <c r="E85" s="11">
        <f t="shared" si="6"/>
        <v>3.273269826695735E-3</v>
      </c>
      <c r="F85" s="52">
        <v>823.55</v>
      </c>
      <c r="G85" s="11">
        <f t="shared" si="7"/>
        <v>1.4536495226362689E-2</v>
      </c>
      <c r="H85" s="52">
        <v>138.69999999999999</v>
      </c>
      <c r="I85" s="11">
        <f t="shared" si="8"/>
        <v>-1.8400566171266952E-2</v>
      </c>
      <c r="J85" s="52">
        <v>776</v>
      </c>
      <c r="K85" s="11">
        <f t="shared" si="9"/>
        <v>1.9108280254777066E-2</v>
      </c>
      <c r="L85" s="52">
        <v>128.30000000000001</v>
      </c>
      <c r="M85" s="11">
        <f t="shared" si="10"/>
        <v>-4.0029928918817737E-2</v>
      </c>
      <c r="N85" s="52">
        <v>247.3</v>
      </c>
      <c r="O85" s="11">
        <f t="shared" si="11"/>
        <v>0.120779515069114</v>
      </c>
    </row>
    <row r="86" spans="2:15" x14ac:dyDescent="0.35">
      <c r="B86" s="56" t="s">
        <v>95</v>
      </c>
      <c r="D86" s="46">
        <v>21352.6</v>
      </c>
      <c r="E86" s="11">
        <f t="shared" si="6"/>
        <v>-2.2934226541837188E-2</v>
      </c>
      <c r="F86" s="52">
        <v>815.7</v>
      </c>
      <c r="G86" s="11">
        <f t="shared" si="7"/>
        <v>-9.5319045595287921E-3</v>
      </c>
      <c r="H86" s="52">
        <v>133.75</v>
      </c>
      <c r="I86" s="11">
        <f t="shared" si="8"/>
        <v>-3.5688536409516858E-2</v>
      </c>
      <c r="J86" s="52">
        <v>716.3</v>
      </c>
      <c r="K86" s="11">
        <f t="shared" si="9"/>
        <v>-7.6932989690721709E-2</v>
      </c>
      <c r="L86" s="52">
        <v>119.1</v>
      </c>
      <c r="M86" s="11">
        <f t="shared" si="10"/>
        <v>-7.1706936866718807E-2</v>
      </c>
      <c r="N86" s="52">
        <v>231.75</v>
      </c>
      <c r="O86" s="11">
        <f t="shared" si="11"/>
        <v>-6.2879094217549558E-2</v>
      </c>
    </row>
    <row r="87" spans="2:15" x14ac:dyDescent="0.35">
      <c r="B87" s="56" t="s">
        <v>96</v>
      </c>
      <c r="D87" s="46">
        <v>21622.400000000001</v>
      </c>
      <c r="E87" s="11">
        <f t="shared" si="6"/>
        <v>1.2635463596939234E-2</v>
      </c>
      <c r="F87" s="52">
        <v>816.65</v>
      </c>
      <c r="G87" s="11">
        <f t="shared" si="7"/>
        <v>1.1646438641657042E-3</v>
      </c>
      <c r="H87" s="52">
        <v>134.25</v>
      </c>
      <c r="I87" s="11">
        <f t="shared" si="8"/>
        <v>3.7383177570093906E-3</v>
      </c>
      <c r="J87" s="52">
        <v>729.25</v>
      </c>
      <c r="K87" s="11">
        <f t="shared" si="9"/>
        <v>1.8079017171576117E-2</v>
      </c>
      <c r="L87" s="52">
        <v>114.1</v>
      </c>
      <c r="M87" s="11">
        <f t="shared" si="10"/>
        <v>-4.1981528127623902E-2</v>
      </c>
      <c r="N87" s="52">
        <v>255.85</v>
      </c>
      <c r="O87" s="11">
        <f t="shared" si="11"/>
        <v>0.10399137001078751</v>
      </c>
    </row>
    <row r="88" spans="2:15" x14ac:dyDescent="0.35">
      <c r="B88" s="56">
        <v>45474</v>
      </c>
      <c r="D88" s="46">
        <v>21894.55</v>
      </c>
      <c r="E88" s="11">
        <f t="shared" si="6"/>
        <v>1.2586484386561958E-2</v>
      </c>
      <c r="F88" s="52">
        <v>825.8</v>
      </c>
      <c r="G88" s="11">
        <f t="shared" si="7"/>
        <v>1.1204310292046715E-2</v>
      </c>
      <c r="H88" s="52">
        <v>135.30000000000001</v>
      </c>
      <c r="I88" s="11">
        <f t="shared" si="8"/>
        <v>7.8212290502794879E-3</v>
      </c>
      <c r="J88" s="52">
        <v>735.9</v>
      </c>
      <c r="K88" s="11">
        <f t="shared" si="9"/>
        <v>9.1189578333903398E-3</v>
      </c>
      <c r="L88" s="52">
        <v>114.9</v>
      </c>
      <c r="M88" s="11">
        <f t="shared" si="10"/>
        <v>7.0113935144611172E-3</v>
      </c>
      <c r="N88" s="52">
        <v>247.45</v>
      </c>
      <c r="O88" s="11">
        <f t="shared" si="11"/>
        <v>-3.2831737346101231E-2</v>
      </c>
    </row>
    <row r="89" spans="2:15" x14ac:dyDescent="0.35">
      <c r="B89" s="56" t="s">
        <v>97</v>
      </c>
      <c r="D89" s="46">
        <v>21710.799999999999</v>
      </c>
      <c r="E89" s="11">
        <f t="shared" si="6"/>
        <v>-8.3924995033010097E-3</v>
      </c>
      <c r="F89" s="52">
        <v>829.4</v>
      </c>
      <c r="G89" s="11">
        <f t="shared" si="7"/>
        <v>4.3594090578833455E-3</v>
      </c>
      <c r="H89" s="52">
        <v>133.65</v>
      </c>
      <c r="I89" s="11">
        <f t="shared" si="8"/>
        <v>-1.2195121951219523E-2</v>
      </c>
      <c r="J89" s="52">
        <v>735.75</v>
      </c>
      <c r="K89" s="11">
        <f t="shared" si="9"/>
        <v>-2.0383204239704522E-4</v>
      </c>
      <c r="L89" s="52">
        <v>116.95</v>
      </c>
      <c r="M89" s="11">
        <f t="shared" si="10"/>
        <v>1.7841601392515116E-2</v>
      </c>
      <c r="N89" s="52">
        <v>251.15</v>
      </c>
      <c r="O89" s="11">
        <f t="shared" si="11"/>
        <v>1.4952515659729215E-2</v>
      </c>
    </row>
    <row r="90" spans="2:15" x14ac:dyDescent="0.35">
      <c r="B90" s="56" t="s">
        <v>98</v>
      </c>
      <c r="D90" s="46">
        <v>21731.4</v>
      </c>
      <c r="E90" s="11">
        <f t="shared" si="6"/>
        <v>9.4883652375776784E-4</v>
      </c>
      <c r="F90" s="52">
        <v>880.25</v>
      </c>
      <c r="G90" s="11">
        <f t="shared" si="7"/>
        <v>6.1309380274897629E-2</v>
      </c>
      <c r="H90" s="52">
        <v>139.6</v>
      </c>
      <c r="I90" s="11">
        <f t="shared" si="8"/>
        <v>4.4519266741488872E-2</v>
      </c>
      <c r="J90" s="52">
        <v>748.1</v>
      </c>
      <c r="K90" s="11">
        <f t="shared" si="9"/>
        <v>1.678559293238191E-2</v>
      </c>
      <c r="L90" s="52">
        <v>123.65</v>
      </c>
      <c r="M90" s="11">
        <f t="shared" si="10"/>
        <v>5.7289439931594632E-2</v>
      </c>
      <c r="N90" s="52">
        <v>253.25</v>
      </c>
      <c r="O90" s="11">
        <f t="shared" si="11"/>
        <v>8.361536930121316E-3</v>
      </c>
    </row>
    <row r="91" spans="2:15" x14ac:dyDescent="0.35">
      <c r="B91" s="56" t="s">
        <v>99</v>
      </c>
      <c r="D91" s="46">
        <v>21349.4</v>
      </c>
      <c r="E91" s="11">
        <f t="shared" si="6"/>
        <v>-1.7578250825993735E-2</v>
      </c>
      <c r="F91" s="52">
        <v>855.3</v>
      </c>
      <c r="G91" s="11">
        <f t="shared" si="7"/>
        <v>-2.8344220391934183E-2</v>
      </c>
      <c r="H91" s="52">
        <v>133.55000000000001</v>
      </c>
      <c r="I91" s="11">
        <f t="shared" si="8"/>
        <v>-4.333810888252132E-2</v>
      </c>
      <c r="J91" s="52">
        <v>726.4</v>
      </c>
      <c r="K91" s="11">
        <f t="shared" si="9"/>
        <v>-2.9006817270418428E-2</v>
      </c>
      <c r="L91" s="52">
        <v>112.75</v>
      </c>
      <c r="M91" s="11">
        <f t="shared" si="10"/>
        <v>-8.8152042054185253E-2</v>
      </c>
      <c r="N91" s="52">
        <v>250.5</v>
      </c>
      <c r="O91" s="11">
        <f t="shared" si="11"/>
        <v>-1.0858835143139234E-2</v>
      </c>
    </row>
    <row r="92" spans="2:15" x14ac:dyDescent="0.35">
      <c r="B92" s="56">
        <v>45211</v>
      </c>
      <c r="D92" s="46">
        <v>21456.65</v>
      </c>
      <c r="E92" s="11">
        <f t="shared" si="6"/>
        <v>5.023560381087977E-3</v>
      </c>
      <c r="F92" s="52">
        <v>867.2</v>
      </c>
      <c r="G92" s="11">
        <f t="shared" si="7"/>
        <v>1.3913246813983537E-2</v>
      </c>
      <c r="H92" s="52">
        <v>136.44999999999999</v>
      </c>
      <c r="I92" s="11">
        <f t="shared" si="8"/>
        <v>2.1714713590415435E-2</v>
      </c>
      <c r="J92" s="52">
        <v>724.4</v>
      </c>
      <c r="K92" s="11">
        <f t="shared" si="9"/>
        <v>-2.7533039647577029E-3</v>
      </c>
      <c r="L92" s="52">
        <v>111.45</v>
      </c>
      <c r="M92" s="11">
        <f t="shared" si="10"/>
        <v>-1.1529933481152943E-2</v>
      </c>
      <c r="N92" s="52">
        <v>259.85000000000002</v>
      </c>
      <c r="O92" s="11">
        <f t="shared" si="11"/>
        <v>3.7325349301397193E-2</v>
      </c>
    </row>
    <row r="93" spans="2:15" x14ac:dyDescent="0.35">
      <c r="B93" s="56">
        <v>44997</v>
      </c>
      <c r="D93" s="46">
        <v>20969.400000000001</v>
      </c>
      <c r="E93" s="11">
        <f t="shared" si="6"/>
        <v>-2.2708577527246754E-2</v>
      </c>
      <c r="F93" s="52">
        <v>839.35</v>
      </c>
      <c r="G93" s="11">
        <f t="shared" si="7"/>
        <v>-3.2114852398523963E-2</v>
      </c>
      <c r="H93" s="52">
        <v>129.19999999999999</v>
      </c>
      <c r="I93" s="11">
        <f t="shared" si="8"/>
        <v>-5.3133015756687385E-2</v>
      </c>
      <c r="J93" s="52">
        <v>686.25</v>
      </c>
      <c r="K93" s="11">
        <f t="shared" si="9"/>
        <v>-5.2664273881833257E-2</v>
      </c>
      <c r="L93" s="52">
        <v>98.1</v>
      </c>
      <c r="M93" s="11">
        <f t="shared" si="10"/>
        <v>-0.11978465679676997</v>
      </c>
      <c r="N93" s="52">
        <v>249.45</v>
      </c>
      <c r="O93" s="11">
        <f t="shared" si="11"/>
        <v>-4.0023090244371895E-2</v>
      </c>
    </row>
    <row r="94" spans="2:15" x14ac:dyDescent="0.35">
      <c r="B94" s="56" t="s">
        <v>100</v>
      </c>
      <c r="D94" s="46">
        <v>20267.900000000001</v>
      </c>
      <c r="E94" s="11">
        <f t="shared" si="6"/>
        <v>-3.3453508445639879E-2</v>
      </c>
      <c r="F94" s="52">
        <v>810.8</v>
      </c>
      <c r="G94" s="11">
        <f t="shared" si="7"/>
        <v>-3.4014415917078766E-2</v>
      </c>
      <c r="H94" s="52">
        <v>130</v>
      </c>
      <c r="I94" s="11">
        <f t="shared" si="8"/>
        <v>6.1919504643963563E-3</v>
      </c>
      <c r="J94" s="52">
        <v>692.2</v>
      </c>
      <c r="K94" s="11">
        <f t="shared" si="9"/>
        <v>8.6703096539162416E-3</v>
      </c>
      <c r="L94" s="52">
        <v>93.15</v>
      </c>
      <c r="M94" s="11">
        <f t="shared" si="10"/>
        <v>-5.0458715596330195E-2</v>
      </c>
      <c r="N94" s="52">
        <v>244.35</v>
      </c>
      <c r="O94" s="11">
        <f t="shared" si="11"/>
        <v>-2.0444978953698123E-2</v>
      </c>
    </row>
    <row r="95" spans="2:15" x14ac:dyDescent="0.35">
      <c r="B95" s="56" t="s">
        <v>101</v>
      </c>
      <c r="D95" s="46">
        <v>19794.7</v>
      </c>
      <c r="E95" s="11">
        <f t="shared" si="6"/>
        <v>-2.3347263406667706E-2</v>
      </c>
      <c r="F95" s="52">
        <v>782.05</v>
      </c>
      <c r="G95" s="11">
        <f t="shared" si="7"/>
        <v>-3.5458806117414921E-2</v>
      </c>
      <c r="H95" s="52">
        <v>125.95</v>
      </c>
      <c r="I95" s="11">
        <f t="shared" si="8"/>
        <v>-3.1153846153846088E-2</v>
      </c>
      <c r="J95" s="52">
        <v>660.3</v>
      </c>
      <c r="K95" s="11">
        <f t="shared" si="9"/>
        <v>-4.6084946547240824E-2</v>
      </c>
      <c r="L95" s="52">
        <v>89.2</v>
      </c>
      <c r="M95" s="11">
        <f t="shared" si="10"/>
        <v>-4.2404723564143931E-2</v>
      </c>
      <c r="N95" s="52">
        <v>235.25</v>
      </c>
      <c r="O95" s="11">
        <f t="shared" si="11"/>
        <v>-3.7241661551053795E-2</v>
      </c>
    </row>
    <row r="96" spans="2:15" x14ac:dyDescent="0.35">
      <c r="B96" s="56">
        <v>45271</v>
      </c>
      <c r="D96" s="46">
        <v>19731.8</v>
      </c>
      <c r="E96" s="11">
        <f t="shared" si="6"/>
        <v>-3.1776182513502116E-3</v>
      </c>
      <c r="F96" s="52">
        <v>768.8</v>
      </c>
      <c r="G96" s="11">
        <f t="shared" si="7"/>
        <v>-1.6942650725656927E-2</v>
      </c>
      <c r="H96" s="52">
        <v>125.2</v>
      </c>
      <c r="I96" s="11">
        <f t="shared" si="8"/>
        <v>-5.9547439460103657E-3</v>
      </c>
      <c r="J96" s="52">
        <v>647.1</v>
      </c>
      <c r="K96" s="11">
        <f t="shared" si="9"/>
        <v>-1.9990913221263007E-2</v>
      </c>
      <c r="L96" s="52">
        <v>89.3</v>
      </c>
      <c r="M96" s="11">
        <f t="shared" si="10"/>
        <v>1.1210762331836932E-3</v>
      </c>
      <c r="N96" s="52">
        <v>233.3</v>
      </c>
      <c r="O96" s="11">
        <f t="shared" si="11"/>
        <v>-8.2890541976620158E-3</v>
      </c>
    </row>
    <row r="97" spans="2:15" x14ac:dyDescent="0.35">
      <c r="B97" s="56">
        <v>45057</v>
      </c>
      <c r="D97" s="46">
        <v>19425.349999999999</v>
      </c>
      <c r="E97" s="11">
        <f t="shared" si="6"/>
        <v>-1.5530767593427863E-2</v>
      </c>
      <c r="F97" s="52">
        <v>754.75</v>
      </c>
      <c r="G97" s="11">
        <f t="shared" si="7"/>
        <v>-1.8275234131113316E-2</v>
      </c>
      <c r="H97" s="52">
        <v>120.05</v>
      </c>
      <c r="I97" s="11">
        <f t="shared" si="8"/>
        <v>-4.1134185303514426E-2</v>
      </c>
      <c r="J97" s="52">
        <v>636.9</v>
      </c>
      <c r="K97" s="11">
        <f t="shared" si="9"/>
        <v>-1.5762633286972694E-2</v>
      </c>
      <c r="L97" s="52">
        <v>88.1</v>
      </c>
      <c r="M97" s="11">
        <f t="shared" si="10"/>
        <v>-1.3437849944008984E-2</v>
      </c>
      <c r="N97" s="52">
        <v>215.5</v>
      </c>
      <c r="O97" s="11">
        <f t="shared" si="11"/>
        <v>-7.6296613801971724E-2</v>
      </c>
    </row>
    <row r="98" spans="2:15" x14ac:dyDescent="0.35">
      <c r="B98" s="56" t="s">
        <v>102</v>
      </c>
      <c r="D98" s="46">
        <v>19230.599999999999</v>
      </c>
      <c r="E98" s="11">
        <f t="shared" si="6"/>
        <v>-1.0025559385030358E-2</v>
      </c>
      <c r="F98" s="52">
        <v>746.05</v>
      </c>
      <c r="G98" s="11">
        <f t="shared" si="7"/>
        <v>-1.1526995693938447E-2</v>
      </c>
      <c r="H98" s="52">
        <v>117.3</v>
      </c>
      <c r="I98" s="11">
        <f t="shared" si="8"/>
        <v>-2.290712203248646E-2</v>
      </c>
      <c r="J98" s="52">
        <v>596.9</v>
      </c>
      <c r="K98" s="11">
        <f t="shared" si="9"/>
        <v>-6.2804207881928087E-2</v>
      </c>
      <c r="L98" s="52">
        <v>84.9</v>
      </c>
      <c r="M98" s="11">
        <f t="shared" si="10"/>
        <v>-3.6322360953461863E-2</v>
      </c>
      <c r="N98" s="52">
        <v>215.65</v>
      </c>
      <c r="O98" s="11">
        <f t="shared" si="11"/>
        <v>6.9605568445485488E-4</v>
      </c>
    </row>
    <row r="99" spans="2:15" x14ac:dyDescent="0.35">
      <c r="B99" s="56" t="s">
        <v>103</v>
      </c>
      <c r="D99" s="46">
        <v>19047.25</v>
      </c>
      <c r="E99" s="11">
        <f t="shared" si="6"/>
        <v>-9.5342839016983039E-3</v>
      </c>
      <c r="F99" s="52">
        <v>732</v>
      </c>
      <c r="G99" s="11">
        <f t="shared" si="7"/>
        <v>-1.8832517927752757E-2</v>
      </c>
      <c r="H99" s="52">
        <v>119.9</v>
      </c>
      <c r="I99" s="11">
        <f t="shared" si="8"/>
        <v>2.2165387894288235E-2</v>
      </c>
      <c r="J99" s="52">
        <v>643.9</v>
      </c>
      <c r="K99" s="11">
        <f t="shared" si="9"/>
        <v>7.8740157480315043E-2</v>
      </c>
      <c r="L99" s="52">
        <v>83.95</v>
      </c>
      <c r="M99" s="11">
        <f t="shared" si="10"/>
        <v>-1.1189634864546605E-2</v>
      </c>
      <c r="N99" s="52">
        <v>214.15</v>
      </c>
      <c r="O99" s="11">
        <f t="shared" si="11"/>
        <v>-6.9557152793878751E-3</v>
      </c>
    </row>
    <row r="100" spans="2:15" x14ac:dyDescent="0.35">
      <c r="B100" s="56" t="s">
        <v>104</v>
      </c>
      <c r="D100" s="46">
        <v>19542.650000000001</v>
      </c>
      <c r="E100" s="11">
        <f t="shared" si="6"/>
        <v>2.6009003924451157E-2</v>
      </c>
      <c r="F100" s="52">
        <v>769.4</v>
      </c>
      <c r="G100" s="11">
        <f t="shared" si="7"/>
        <v>5.1092896174863345E-2</v>
      </c>
      <c r="H100" s="52">
        <v>123.1</v>
      </c>
      <c r="I100" s="11">
        <f t="shared" si="8"/>
        <v>2.6688907422852237E-2</v>
      </c>
      <c r="J100" s="52">
        <v>662.4</v>
      </c>
      <c r="K100" s="11">
        <f t="shared" si="9"/>
        <v>2.8731169436247761E-2</v>
      </c>
      <c r="L100" s="52">
        <v>86.9</v>
      </c>
      <c r="M100" s="11">
        <f t="shared" si="10"/>
        <v>3.5139964264443213E-2</v>
      </c>
      <c r="N100" s="52">
        <v>216.6</v>
      </c>
      <c r="O100" s="11">
        <f t="shared" si="11"/>
        <v>1.1440579033387799E-2</v>
      </c>
    </row>
    <row r="101" spans="2:15" x14ac:dyDescent="0.35">
      <c r="B101" s="56">
        <v>45148</v>
      </c>
      <c r="D101" s="46">
        <v>19751.05</v>
      </c>
      <c r="E101" s="11">
        <f t="shared" si="6"/>
        <v>1.0663855720692839E-2</v>
      </c>
      <c r="F101" s="52">
        <v>777.25</v>
      </c>
      <c r="G101" s="11">
        <f t="shared" si="7"/>
        <v>1.0202755393813323E-2</v>
      </c>
      <c r="H101" s="52">
        <v>125.05</v>
      </c>
      <c r="I101" s="11">
        <f t="shared" si="8"/>
        <v>1.5840779853777409E-2</v>
      </c>
      <c r="J101" s="52">
        <v>681.5</v>
      </c>
      <c r="K101" s="11">
        <f t="shared" si="9"/>
        <v>2.8834541062801922E-2</v>
      </c>
      <c r="L101" s="52">
        <v>88.9</v>
      </c>
      <c r="M101" s="11">
        <f t="shared" si="10"/>
        <v>2.3014959723820505E-2</v>
      </c>
      <c r="N101" s="52">
        <v>215.4</v>
      </c>
      <c r="O101" s="11">
        <f t="shared" si="11"/>
        <v>-5.5401662049860967E-3</v>
      </c>
    </row>
    <row r="102" spans="2:15" x14ac:dyDescent="0.35">
      <c r="B102" s="56">
        <v>44936</v>
      </c>
      <c r="D102" s="46">
        <v>19653.5</v>
      </c>
      <c r="E102" s="11">
        <f t="shared" si="6"/>
        <v>-4.9389779277556611E-3</v>
      </c>
      <c r="F102" s="52">
        <v>765.2</v>
      </c>
      <c r="G102" s="11">
        <f t="shared" si="7"/>
        <v>-1.5503377291733567E-2</v>
      </c>
      <c r="H102" s="52">
        <v>125.9</v>
      </c>
      <c r="I102" s="11">
        <f t="shared" si="8"/>
        <v>6.7972810875649436E-3</v>
      </c>
      <c r="J102" s="52">
        <v>683.45</v>
      </c>
      <c r="K102" s="11">
        <f t="shared" si="9"/>
        <v>2.8613352898019251E-3</v>
      </c>
      <c r="L102" s="52">
        <v>88.85</v>
      </c>
      <c r="M102" s="11">
        <f t="shared" si="10"/>
        <v>-5.6242969628805817E-4</v>
      </c>
      <c r="N102" s="52">
        <v>215.95</v>
      </c>
      <c r="O102" s="11">
        <f t="shared" si="11"/>
        <v>2.5533890436395534E-3</v>
      </c>
    </row>
    <row r="103" spans="2:15" x14ac:dyDescent="0.35">
      <c r="B103" s="56" t="s">
        <v>105</v>
      </c>
      <c r="D103" s="46">
        <v>19638.3</v>
      </c>
      <c r="E103" s="11">
        <f t="shared" si="6"/>
        <v>-7.7339914010232658E-4</v>
      </c>
      <c r="F103" s="52">
        <v>779.6</v>
      </c>
      <c r="G103" s="11">
        <f t="shared" si="7"/>
        <v>1.8818609513852502E-2</v>
      </c>
      <c r="H103" s="52">
        <v>128.9</v>
      </c>
      <c r="I103" s="11">
        <f t="shared" si="8"/>
        <v>2.3828435266084247E-2</v>
      </c>
      <c r="J103" s="52">
        <v>701.35</v>
      </c>
      <c r="K103" s="11">
        <f t="shared" si="9"/>
        <v>2.6190650376764824E-2</v>
      </c>
      <c r="L103" s="52">
        <v>93.85</v>
      </c>
      <c r="M103" s="11">
        <f t="shared" si="10"/>
        <v>5.6274620146314014E-2</v>
      </c>
      <c r="N103" s="52">
        <v>220.3</v>
      </c>
      <c r="O103" s="11">
        <f t="shared" si="11"/>
        <v>2.0143551748089905E-2</v>
      </c>
    </row>
    <row r="104" spans="2:15" x14ac:dyDescent="0.35">
      <c r="B104" s="56" t="s">
        <v>106</v>
      </c>
      <c r="D104" s="46">
        <v>19674.25</v>
      </c>
      <c r="E104" s="11">
        <f t="shared" si="6"/>
        <v>1.8306065188942178E-3</v>
      </c>
      <c r="F104" s="52">
        <v>774.05</v>
      </c>
      <c r="G104" s="11">
        <f t="shared" si="7"/>
        <v>-7.1190354027707015E-3</v>
      </c>
      <c r="H104" s="52">
        <v>126.75</v>
      </c>
      <c r="I104" s="11">
        <f t="shared" si="8"/>
        <v>-1.66795965865012E-2</v>
      </c>
      <c r="J104" s="52">
        <v>683.2</v>
      </c>
      <c r="K104" s="11">
        <f t="shared" si="9"/>
        <v>-2.5878662579311262E-2</v>
      </c>
      <c r="L104" s="52">
        <v>93.2</v>
      </c>
      <c r="M104" s="11">
        <f t="shared" si="10"/>
        <v>-6.9259456579647827E-3</v>
      </c>
      <c r="N104" s="52">
        <v>214.9</v>
      </c>
      <c r="O104" s="11">
        <f t="shared" si="11"/>
        <v>-2.4512029051293682E-2</v>
      </c>
    </row>
    <row r="105" spans="2:15" x14ac:dyDescent="0.35">
      <c r="B105" s="56">
        <v>45208</v>
      </c>
      <c r="D105" s="46">
        <v>20192.349999999999</v>
      </c>
      <c r="E105" s="11">
        <f t="shared" si="6"/>
        <v>2.6333913618054039E-2</v>
      </c>
      <c r="F105" s="52">
        <v>812.85</v>
      </c>
      <c r="G105" s="11">
        <f t="shared" si="7"/>
        <v>5.0125960855242013E-2</v>
      </c>
      <c r="H105" s="52">
        <v>131.94999999999999</v>
      </c>
      <c r="I105" s="11">
        <f t="shared" si="8"/>
        <v>4.102564102564088E-2</v>
      </c>
      <c r="J105" s="52">
        <v>711.45</v>
      </c>
      <c r="K105" s="11">
        <f t="shared" si="9"/>
        <v>4.1349531615925139E-2</v>
      </c>
      <c r="L105" s="52">
        <v>96.35</v>
      </c>
      <c r="M105" s="11">
        <f t="shared" si="10"/>
        <v>3.3798283261802453E-2</v>
      </c>
      <c r="N105" s="52">
        <v>211.5</v>
      </c>
      <c r="O105" s="11">
        <f t="shared" si="11"/>
        <v>-1.582131223825034E-2</v>
      </c>
    </row>
    <row r="106" spans="2:15" x14ac:dyDescent="0.35">
      <c r="B106" s="56">
        <v>44994</v>
      </c>
      <c r="D106" s="46">
        <v>19819.95</v>
      </c>
      <c r="E106" s="11">
        <f t="shared" si="6"/>
        <v>-1.8442628024969765E-2</v>
      </c>
      <c r="F106" s="52">
        <v>815.75</v>
      </c>
      <c r="G106" s="11">
        <f t="shared" si="7"/>
        <v>3.5676939164668298E-3</v>
      </c>
      <c r="H106" s="52">
        <v>129.5</v>
      </c>
      <c r="I106" s="11">
        <f t="shared" si="8"/>
        <v>-1.8567639257294322E-2</v>
      </c>
      <c r="J106" s="52">
        <v>698.3</v>
      </c>
      <c r="K106" s="11">
        <f t="shared" si="9"/>
        <v>-1.8483379014688439E-2</v>
      </c>
      <c r="L106" s="52">
        <v>98.9</v>
      </c>
      <c r="M106" s="11">
        <f t="shared" si="10"/>
        <v>2.6466009340944563E-2</v>
      </c>
      <c r="N106" s="52">
        <v>239.5</v>
      </c>
      <c r="O106" s="11">
        <f t="shared" si="11"/>
        <v>0.13238770685579193</v>
      </c>
    </row>
    <row r="107" spans="2:15" x14ac:dyDescent="0.35">
      <c r="B107" s="56" t="s">
        <v>107</v>
      </c>
      <c r="D107" s="46">
        <v>19435.3</v>
      </c>
      <c r="E107" s="11">
        <f t="shared" si="6"/>
        <v>-1.940721343898455E-2</v>
      </c>
      <c r="F107" s="52">
        <v>806.4</v>
      </c>
      <c r="G107" s="11">
        <f t="shared" si="7"/>
        <v>-1.1461844927980414E-2</v>
      </c>
      <c r="H107" s="52">
        <v>127.05</v>
      </c>
      <c r="I107" s="11">
        <f t="shared" si="8"/>
        <v>-1.8918918918918948E-2</v>
      </c>
      <c r="J107" s="52">
        <v>701.1</v>
      </c>
      <c r="K107" s="11">
        <f t="shared" si="9"/>
        <v>4.009737934985047E-3</v>
      </c>
      <c r="L107" s="52">
        <v>96.95</v>
      </c>
      <c r="M107" s="11">
        <f t="shared" si="10"/>
        <v>-1.9716885743174983E-2</v>
      </c>
      <c r="N107" s="52">
        <v>240.98</v>
      </c>
      <c r="O107" s="11">
        <f t="shared" si="11"/>
        <v>6.1795407098119703E-3</v>
      </c>
    </row>
    <row r="108" spans="2:15" x14ac:dyDescent="0.35">
      <c r="B108" s="56" t="s">
        <v>108</v>
      </c>
      <c r="D108" s="46">
        <v>19265.8</v>
      </c>
      <c r="E108" s="11">
        <f t="shared" si="6"/>
        <v>-8.7212443337638668E-3</v>
      </c>
      <c r="F108" s="52">
        <v>773.15</v>
      </c>
      <c r="G108" s="11">
        <f t="shared" si="7"/>
        <v>-4.123263888888884E-2</v>
      </c>
      <c r="H108" s="52">
        <v>116.9</v>
      </c>
      <c r="I108" s="11">
        <f t="shared" si="8"/>
        <v>-7.9889807162534354E-2</v>
      </c>
      <c r="J108" s="52">
        <v>634.4</v>
      </c>
      <c r="K108" s="11">
        <f t="shared" si="9"/>
        <v>-9.5136214520039952E-2</v>
      </c>
      <c r="L108" s="52">
        <v>85.65</v>
      </c>
      <c r="M108" s="11">
        <f t="shared" si="10"/>
        <v>-0.11655492521918509</v>
      </c>
      <c r="N108" s="52">
        <v>206.14</v>
      </c>
      <c r="O108" s="11">
        <f t="shared" si="11"/>
        <v>-0.14457631338700305</v>
      </c>
    </row>
    <row r="109" spans="2:15" x14ac:dyDescent="0.35">
      <c r="B109" s="56" t="s">
        <v>109</v>
      </c>
      <c r="D109" s="46">
        <v>19310.150000000001</v>
      </c>
      <c r="E109" s="11">
        <f t="shared" si="6"/>
        <v>2.3020066646597392E-3</v>
      </c>
      <c r="F109" s="52">
        <v>787.1</v>
      </c>
      <c r="G109" s="11">
        <f t="shared" si="7"/>
        <v>1.804307055551968E-2</v>
      </c>
      <c r="H109" s="52">
        <v>115.8</v>
      </c>
      <c r="I109" s="11">
        <f t="shared" si="8"/>
        <v>-9.4097519247220429E-3</v>
      </c>
      <c r="J109" s="52">
        <v>641.04999999999995</v>
      </c>
      <c r="K109" s="11">
        <f t="shared" si="9"/>
        <v>1.0482345523329162E-2</v>
      </c>
      <c r="L109" s="52">
        <v>84.35</v>
      </c>
      <c r="M109" s="11">
        <f t="shared" si="10"/>
        <v>-1.5178050204320059E-2</v>
      </c>
      <c r="N109" s="52">
        <v>198.46</v>
      </c>
      <c r="O109" s="11">
        <f t="shared" si="11"/>
        <v>-3.7256233627631641E-2</v>
      </c>
    </row>
    <row r="110" spans="2:15" x14ac:dyDescent="0.35">
      <c r="B110" s="56">
        <v>45085</v>
      </c>
      <c r="D110" s="46">
        <v>19428.3</v>
      </c>
      <c r="E110" s="11">
        <f t="shared" si="6"/>
        <v>6.1185438745943177E-3</v>
      </c>
      <c r="F110" s="52">
        <v>820.65</v>
      </c>
      <c r="G110" s="11">
        <f t="shared" si="7"/>
        <v>4.2624825308092973E-2</v>
      </c>
      <c r="H110" s="52">
        <v>120.3</v>
      </c>
      <c r="I110" s="11">
        <f t="shared" si="8"/>
        <v>3.8860103626942921E-2</v>
      </c>
      <c r="J110" s="52">
        <v>698.2</v>
      </c>
      <c r="K110" s="11">
        <f t="shared" si="9"/>
        <v>8.9150612276733598E-2</v>
      </c>
      <c r="L110" s="52">
        <v>91.1</v>
      </c>
      <c r="M110" s="11">
        <f t="shared" si="10"/>
        <v>8.0023710729104858E-2</v>
      </c>
      <c r="N110" s="52">
        <v>188.99</v>
      </c>
      <c r="O110" s="11">
        <f t="shared" si="11"/>
        <v>-4.7717424166078826E-2</v>
      </c>
    </row>
    <row r="111" spans="2:15" x14ac:dyDescent="0.35">
      <c r="B111" s="56" t="s">
        <v>110</v>
      </c>
      <c r="D111" s="46">
        <v>19517</v>
      </c>
      <c r="E111" s="11">
        <f t="shared" si="6"/>
        <v>4.5655049592605579E-3</v>
      </c>
      <c r="F111" s="52">
        <v>805.95</v>
      </c>
      <c r="G111" s="11">
        <f t="shared" si="7"/>
        <v>-1.7912630232132964E-2</v>
      </c>
      <c r="H111" s="52">
        <v>119</v>
      </c>
      <c r="I111" s="11">
        <f t="shared" si="8"/>
        <v>-1.0806317539484578E-2</v>
      </c>
      <c r="J111" s="52">
        <v>652.70000000000005</v>
      </c>
      <c r="K111" s="11">
        <f t="shared" si="9"/>
        <v>-6.5167573761099939E-2</v>
      </c>
      <c r="L111" s="52">
        <v>94</v>
      </c>
      <c r="M111" s="11">
        <f t="shared" si="10"/>
        <v>3.1833150384193321E-2</v>
      </c>
      <c r="N111" s="52">
        <v>195.87</v>
      </c>
      <c r="O111" s="11">
        <f t="shared" si="11"/>
        <v>3.6404042541933412E-2</v>
      </c>
    </row>
    <row r="112" spans="2:15" x14ac:dyDescent="0.35">
      <c r="B112" s="56" t="s">
        <v>111</v>
      </c>
      <c r="D112" s="46">
        <v>19646.05</v>
      </c>
      <c r="E112" s="11">
        <f t="shared" si="6"/>
        <v>6.6121842496285055E-3</v>
      </c>
      <c r="F112" s="52">
        <v>804.15</v>
      </c>
      <c r="G112" s="11">
        <f t="shared" si="7"/>
        <v>-2.2333891680625939E-3</v>
      </c>
      <c r="H112" s="52">
        <v>120.6</v>
      </c>
      <c r="I112" s="11">
        <f t="shared" si="8"/>
        <v>1.3445378151260456E-2</v>
      </c>
      <c r="J112" s="52">
        <v>665.3</v>
      </c>
      <c r="K112" s="11">
        <f t="shared" si="9"/>
        <v>1.9304427761605458E-2</v>
      </c>
      <c r="L112" s="52">
        <v>92.7</v>
      </c>
      <c r="M112" s="11">
        <f t="shared" si="10"/>
        <v>-1.382978723404249E-2</v>
      </c>
      <c r="N112" s="52">
        <v>187.19</v>
      </c>
      <c r="O112" s="11">
        <f t="shared" si="11"/>
        <v>-4.4315106958697115E-2</v>
      </c>
    </row>
    <row r="113" spans="2:15" x14ac:dyDescent="0.35">
      <c r="B113" s="56" t="s">
        <v>112</v>
      </c>
      <c r="D113" s="46">
        <v>19745</v>
      </c>
      <c r="E113" s="11">
        <f t="shared" si="6"/>
        <v>5.0366358631888097E-3</v>
      </c>
      <c r="F113" s="52">
        <v>786.45</v>
      </c>
      <c r="G113" s="11">
        <f t="shared" si="7"/>
        <v>-2.2010818877075122E-2</v>
      </c>
      <c r="H113" s="52">
        <v>116.6</v>
      </c>
      <c r="I113" s="11">
        <f t="shared" si="8"/>
        <v>-3.3167495854062978E-2</v>
      </c>
      <c r="J113" s="52">
        <v>628.1</v>
      </c>
      <c r="K113" s="11">
        <f t="shared" si="9"/>
        <v>-5.5914624981211358E-2</v>
      </c>
      <c r="L113" s="52">
        <v>90.15</v>
      </c>
      <c r="M113" s="11">
        <f t="shared" si="10"/>
        <v>-2.7508090614886682E-2</v>
      </c>
      <c r="N113" s="52">
        <v>175.81</v>
      </c>
      <c r="O113" s="11">
        <f t="shared" si="11"/>
        <v>-6.0793845825097503E-2</v>
      </c>
    </row>
    <row r="114" spans="2:15" x14ac:dyDescent="0.35">
      <c r="B114" s="56">
        <v>45176</v>
      </c>
      <c r="D114" s="46">
        <v>19564.5</v>
      </c>
      <c r="E114" s="11">
        <f t="shared" si="6"/>
        <v>-9.1415548240060263E-3</v>
      </c>
      <c r="F114" s="52">
        <v>804.85</v>
      </c>
      <c r="G114" s="11">
        <f t="shared" si="7"/>
        <v>2.3396274397609496E-2</v>
      </c>
      <c r="H114" s="52">
        <v>117.15</v>
      </c>
      <c r="I114" s="11">
        <f t="shared" si="8"/>
        <v>4.7169811320755262E-3</v>
      </c>
      <c r="J114" s="52">
        <v>641.6</v>
      </c>
      <c r="K114" s="11">
        <f t="shared" si="9"/>
        <v>2.1493392771851694E-2</v>
      </c>
      <c r="L114" s="52">
        <v>91.25</v>
      </c>
      <c r="M114" s="11">
        <f t="shared" si="10"/>
        <v>1.2201885745978913E-2</v>
      </c>
      <c r="N114" s="52">
        <v>158.19</v>
      </c>
      <c r="O114" s="11">
        <f t="shared" si="11"/>
        <v>-0.10022183038507482</v>
      </c>
    </row>
    <row r="115" spans="2:15" x14ac:dyDescent="0.35">
      <c r="B115" s="56">
        <v>44964</v>
      </c>
      <c r="D115" s="46">
        <v>19331.8</v>
      </c>
      <c r="E115" s="11">
        <f t="shared" si="6"/>
        <v>-1.1893991668583404E-2</v>
      </c>
      <c r="F115" s="52">
        <v>788.4</v>
      </c>
      <c r="G115" s="11">
        <f t="shared" si="7"/>
        <v>-2.0438591041809118E-2</v>
      </c>
      <c r="H115" s="52">
        <v>111.6</v>
      </c>
      <c r="I115" s="11">
        <f t="shared" si="8"/>
        <v>-4.7375160051216447E-2</v>
      </c>
      <c r="J115" s="52">
        <v>610.20000000000005</v>
      </c>
      <c r="K115" s="11">
        <f t="shared" si="9"/>
        <v>-4.894014962593507E-2</v>
      </c>
      <c r="L115" s="52">
        <v>86.8</v>
      </c>
      <c r="M115" s="11">
        <f t="shared" si="10"/>
        <v>-4.8767123287671299E-2</v>
      </c>
      <c r="N115" s="52">
        <v>152.94</v>
      </c>
      <c r="O115" s="11">
        <f t="shared" si="11"/>
        <v>-3.3187938554902319E-2</v>
      </c>
    </row>
    <row r="116" spans="2:15" x14ac:dyDescent="0.35">
      <c r="B116" s="56" t="s">
        <v>113</v>
      </c>
      <c r="D116" s="46">
        <v>19189.05</v>
      </c>
      <c r="E116" s="11">
        <f t="shared" si="6"/>
        <v>-7.3842063336058139E-3</v>
      </c>
      <c r="F116" s="52">
        <v>784.8</v>
      </c>
      <c r="G116" s="11">
        <f t="shared" si="7"/>
        <v>-4.5662100456621557E-3</v>
      </c>
      <c r="H116" s="52">
        <v>112</v>
      </c>
      <c r="I116" s="11">
        <f t="shared" si="8"/>
        <v>3.5842293906811484E-3</v>
      </c>
      <c r="J116" s="52">
        <v>581.04999999999995</v>
      </c>
      <c r="K116" s="11">
        <f t="shared" si="9"/>
        <v>-4.7771222549983783E-2</v>
      </c>
      <c r="L116" s="52">
        <v>85.5</v>
      </c>
      <c r="M116" s="11">
        <f t="shared" si="10"/>
        <v>-1.4976958525345641E-2</v>
      </c>
      <c r="N116" s="52">
        <v>146.31</v>
      </c>
      <c r="O116" s="11">
        <f t="shared" si="11"/>
        <v>-4.3350333464103552E-2</v>
      </c>
    </row>
    <row r="117" spans="2:15" x14ac:dyDescent="0.35">
      <c r="B117" s="56" t="s">
        <v>114</v>
      </c>
      <c r="D117" s="46">
        <v>18665.5</v>
      </c>
      <c r="E117" s="11">
        <f t="shared" si="6"/>
        <v>-2.7283789452838936E-2</v>
      </c>
      <c r="F117" s="52">
        <v>746.5</v>
      </c>
      <c r="G117" s="11">
        <f t="shared" si="7"/>
        <v>-4.8802242609581992E-2</v>
      </c>
      <c r="H117" s="52">
        <v>109.6</v>
      </c>
      <c r="I117" s="11">
        <f t="shared" si="8"/>
        <v>-2.1428571428571463E-2</v>
      </c>
      <c r="J117" s="52">
        <v>568.85</v>
      </c>
      <c r="K117" s="11">
        <f t="shared" si="9"/>
        <v>-2.0996471904311087E-2</v>
      </c>
      <c r="L117" s="52">
        <v>84.4</v>
      </c>
      <c r="M117" s="11">
        <f t="shared" si="10"/>
        <v>-1.2865497076023358E-2</v>
      </c>
      <c r="N117" s="52">
        <v>134.32</v>
      </c>
      <c r="O117" s="11">
        <f t="shared" si="11"/>
        <v>-8.1949285763105784E-2</v>
      </c>
    </row>
    <row r="118" spans="2:15" x14ac:dyDescent="0.35">
      <c r="B118" s="56">
        <v>45236</v>
      </c>
      <c r="D118" s="46">
        <v>18826</v>
      </c>
      <c r="E118" s="11">
        <f t="shared" si="6"/>
        <v>8.598751707695973E-3</v>
      </c>
      <c r="F118" s="52">
        <v>776.1</v>
      </c>
      <c r="G118" s="11">
        <f t="shared" si="7"/>
        <v>3.9651707970529193E-2</v>
      </c>
      <c r="H118" s="52">
        <v>114.25</v>
      </c>
      <c r="I118" s="11">
        <f t="shared" si="8"/>
        <v>4.242700729927007E-2</v>
      </c>
      <c r="J118" s="52">
        <v>544.20000000000005</v>
      </c>
      <c r="K118" s="11">
        <f t="shared" si="9"/>
        <v>-4.3333040344554763E-2</v>
      </c>
      <c r="L118" s="52">
        <v>85.15</v>
      </c>
      <c r="M118" s="11">
        <f t="shared" si="10"/>
        <v>8.886255924170694E-3</v>
      </c>
      <c r="N118" s="52">
        <v>142.29</v>
      </c>
      <c r="O118" s="11">
        <f t="shared" si="11"/>
        <v>5.9335914234663445E-2</v>
      </c>
    </row>
    <row r="119" spans="2:15" x14ac:dyDescent="0.35">
      <c r="B119" s="56">
        <v>45022</v>
      </c>
      <c r="D119" s="46">
        <v>18563.400000000001</v>
      </c>
      <c r="E119" s="11">
        <f t="shared" si="6"/>
        <v>-1.3948794220758454E-2</v>
      </c>
      <c r="F119" s="52">
        <v>748.5</v>
      </c>
      <c r="G119" s="11">
        <f t="shared" si="7"/>
        <v>-3.5562427522226492E-2</v>
      </c>
      <c r="H119" s="52">
        <v>108.9</v>
      </c>
      <c r="I119" s="11">
        <f t="shared" si="8"/>
        <v>-4.6827133479212191E-2</v>
      </c>
      <c r="J119" s="52">
        <v>523.95000000000005</v>
      </c>
      <c r="K119" s="11">
        <f t="shared" si="9"/>
        <v>-3.721058434399116E-2</v>
      </c>
      <c r="L119" s="52">
        <v>82.9</v>
      </c>
      <c r="M119" s="11">
        <f t="shared" si="10"/>
        <v>-2.6423957721667612E-2</v>
      </c>
      <c r="N119" s="52">
        <v>127.63</v>
      </c>
      <c r="O119" s="11">
        <f t="shared" si="11"/>
        <v>-0.10302902523016377</v>
      </c>
    </row>
    <row r="120" spans="2:15" x14ac:dyDescent="0.35">
      <c r="B120" s="56" t="s">
        <v>115</v>
      </c>
      <c r="D120" s="46">
        <v>18534.099999999999</v>
      </c>
      <c r="E120" s="11">
        <f t="shared" si="6"/>
        <v>-1.5783746511954799E-3</v>
      </c>
      <c r="F120" s="52">
        <v>706.6</v>
      </c>
      <c r="G120" s="11">
        <f t="shared" si="7"/>
        <v>-5.5978623914495595E-2</v>
      </c>
      <c r="H120" s="52">
        <v>108</v>
      </c>
      <c r="I120" s="11">
        <f t="shared" si="8"/>
        <v>-8.2644628099174389E-3</v>
      </c>
      <c r="J120" s="52">
        <v>525.35</v>
      </c>
      <c r="K120" s="11">
        <f t="shared" si="9"/>
        <v>2.6720106880426808E-3</v>
      </c>
      <c r="L120" s="52">
        <v>83.6</v>
      </c>
      <c r="M120" s="11">
        <f t="shared" si="10"/>
        <v>8.443908323281013E-3</v>
      </c>
      <c r="N120" s="52">
        <v>117.68</v>
      </c>
      <c r="O120" s="11">
        <f t="shared" si="11"/>
        <v>-7.7959727336832985E-2</v>
      </c>
    </row>
    <row r="121" spans="2:15" x14ac:dyDescent="0.35">
      <c r="B121" s="56" t="s">
        <v>116</v>
      </c>
      <c r="D121" s="46">
        <v>18499.349999999999</v>
      </c>
      <c r="E121" s="11">
        <f t="shared" si="6"/>
        <v>-1.874922440258775E-3</v>
      </c>
      <c r="F121" s="52">
        <v>701.7</v>
      </c>
      <c r="G121" s="11">
        <f t="shared" si="7"/>
        <v>-6.9346164732521087E-3</v>
      </c>
      <c r="H121" s="52">
        <v>106.4</v>
      </c>
      <c r="I121" s="11">
        <f t="shared" si="8"/>
        <v>-1.4814814814814725E-2</v>
      </c>
      <c r="J121" s="52">
        <v>520.35</v>
      </c>
      <c r="K121" s="11">
        <f t="shared" si="9"/>
        <v>-9.5174645474445096E-3</v>
      </c>
      <c r="L121" s="52">
        <v>82.1</v>
      </c>
      <c r="M121" s="11">
        <f t="shared" si="10"/>
        <v>-1.7942583732057371E-2</v>
      </c>
      <c r="N121" s="52">
        <v>113.09</v>
      </c>
      <c r="O121" s="11">
        <f t="shared" si="11"/>
        <v>-3.9004078857919788E-2</v>
      </c>
    </row>
    <row r="122" spans="2:15" x14ac:dyDescent="0.35">
      <c r="B122" s="56" t="s">
        <v>117</v>
      </c>
      <c r="D122" s="46">
        <v>18203.400000000001</v>
      </c>
      <c r="E122" s="11">
        <f t="shared" si="6"/>
        <v>-1.599785938424847E-2</v>
      </c>
      <c r="F122" s="52">
        <v>693.85</v>
      </c>
      <c r="G122" s="11">
        <f t="shared" si="7"/>
        <v>-1.1187117001567604E-2</v>
      </c>
      <c r="H122" s="52">
        <v>104.65</v>
      </c>
      <c r="I122" s="11">
        <f t="shared" si="8"/>
        <v>-1.6447368421052655E-2</v>
      </c>
      <c r="J122" s="52">
        <v>522.4</v>
      </c>
      <c r="K122" s="11">
        <f t="shared" si="9"/>
        <v>3.939656000768732E-3</v>
      </c>
      <c r="L122" s="52">
        <v>82.15</v>
      </c>
      <c r="M122" s="11">
        <f t="shared" si="10"/>
        <v>6.0901339829499967E-4</v>
      </c>
      <c r="N122" s="52">
        <v>113.37</v>
      </c>
      <c r="O122" s="11">
        <f t="shared" si="11"/>
        <v>2.475904147139385E-3</v>
      </c>
    </row>
    <row r="123" spans="2:15" x14ac:dyDescent="0.35">
      <c r="B123" s="56">
        <v>45112</v>
      </c>
      <c r="D123" s="46">
        <v>18314.8</v>
      </c>
      <c r="E123" s="11">
        <f t="shared" si="6"/>
        <v>6.1197358735181062E-3</v>
      </c>
      <c r="F123" s="52">
        <v>702.65</v>
      </c>
      <c r="G123" s="11">
        <f t="shared" si="7"/>
        <v>1.2682856525185526E-2</v>
      </c>
      <c r="H123" s="52">
        <v>106.75</v>
      </c>
      <c r="I123" s="11">
        <f t="shared" si="8"/>
        <v>2.006688963210701E-2</v>
      </c>
      <c r="J123" s="52">
        <v>574.15</v>
      </c>
      <c r="K123" s="11">
        <f t="shared" si="9"/>
        <v>9.9062021439509929E-2</v>
      </c>
      <c r="L123" s="52">
        <v>83.05</v>
      </c>
      <c r="M123" s="11">
        <f t="shared" si="10"/>
        <v>1.0955569080949301E-2</v>
      </c>
      <c r="N123" s="52">
        <v>111.66</v>
      </c>
      <c r="O123" s="11">
        <f t="shared" si="11"/>
        <v>-1.508335538502259E-2</v>
      </c>
    </row>
    <row r="124" spans="2:15" x14ac:dyDescent="0.35">
      <c r="B124" s="56" t="s">
        <v>118</v>
      </c>
      <c r="D124" s="46">
        <v>18069</v>
      </c>
      <c r="E124" s="11">
        <f t="shared" si="6"/>
        <v>-1.3420839976412524E-2</v>
      </c>
      <c r="F124" s="52">
        <v>733.35</v>
      </c>
      <c r="G124" s="11">
        <f t="shared" si="7"/>
        <v>4.3691738418843107E-2</v>
      </c>
      <c r="H124" s="52">
        <v>108.65</v>
      </c>
      <c r="I124" s="11">
        <f t="shared" si="8"/>
        <v>1.779859484777524E-2</v>
      </c>
      <c r="J124" s="52">
        <v>583.1</v>
      </c>
      <c r="K124" s="11">
        <f t="shared" si="9"/>
        <v>1.5588260907428486E-2</v>
      </c>
      <c r="L124" s="52">
        <v>82.7</v>
      </c>
      <c r="M124" s="11">
        <f t="shared" si="10"/>
        <v>-4.2143287176399369E-3</v>
      </c>
      <c r="N124" s="52">
        <v>110.68</v>
      </c>
      <c r="O124" s="11">
        <f t="shared" si="11"/>
        <v>-8.7766433816943712E-3</v>
      </c>
    </row>
    <row r="125" spans="2:15" x14ac:dyDescent="0.35">
      <c r="B125" s="56" t="s">
        <v>119</v>
      </c>
      <c r="D125" s="46">
        <v>18065</v>
      </c>
      <c r="E125" s="11">
        <f t="shared" si="6"/>
        <v>-2.2137362333274346E-4</v>
      </c>
      <c r="F125" s="52">
        <v>725.3</v>
      </c>
      <c r="G125" s="11">
        <f t="shared" si="7"/>
        <v>-1.0977023249471696E-2</v>
      </c>
      <c r="H125" s="52">
        <v>107.95</v>
      </c>
      <c r="I125" s="11">
        <f t="shared" si="8"/>
        <v>-6.4427059364933204E-3</v>
      </c>
      <c r="J125" s="52">
        <v>582.85</v>
      </c>
      <c r="K125" s="11">
        <f t="shared" si="9"/>
        <v>-4.2874292574168749E-4</v>
      </c>
      <c r="L125" s="52">
        <v>82.8</v>
      </c>
      <c r="M125" s="11">
        <f t="shared" si="10"/>
        <v>1.2091898428052694E-3</v>
      </c>
      <c r="N125" s="52">
        <v>111.86</v>
      </c>
      <c r="O125" s="11">
        <f t="shared" si="11"/>
        <v>1.0661366100469749E-2</v>
      </c>
    </row>
    <row r="126" spans="2:15" x14ac:dyDescent="0.35">
      <c r="B126" s="56" t="s">
        <v>120</v>
      </c>
      <c r="D126" s="46">
        <v>17624.05</v>
      </c>
      <c r="E126" s="11">
        <f t="shared" si="6"/>
        <v>-2.4409078328259115E-2</v>
      </c>
      <c r="F126" s="52">
        <v>710.65</v>
      </c>
      <c r="G126" s="11">
        <f t="shared" si="7"/>
        <v>-2.0198538535778243E-2</v>
      </c>
      <c r="H126" s="52">
        <v>106.15</v>
      </c>
      <c r="I126" s="11">
        <f t="shared" si="8"/>
        <v>-1.6674386289948995E-2</v>
      </c>
      <c r="J126" s="52">
        <v>573.04999999999995</v>
      </c>
      <c r="K126" s="11">
        <f t="shared" si="9"/>
        <v>-1.6813931543278815E-2</v>
      </c>
      <c r="L126" s="52">
        <v>81.599999999999994</v>
      </c>
      <c r="M126" s="11">
        <f t="shared" si="10"/>
        <v>-1.449275362318847E-2</v>
      </c>
      <c r="N126" s="52">
        <v>108.44</v>
      </c>
      <c r="O126" s="11">
        <f t="shared" si="11"/>
        <v>-3.0573931700339729E-2</v>
      </c>
    </row>
    <row r="127" spans="2:15" x14ac:dyDescent="0.35">
      <c r="B127" s="56">
        <v>45173</v>
      </c>
      <c r="D127" s="46">
        <v>17828</v>
      </c>
      <c r="E127" s="11">
        <f t="shared" si="6"/>
        <v>1.15722549584234E-2</v>
      </c>
      <c r="F127" s="52">
        <v>720.65</v>
      </c>
      <c r="G127" s="11">
        <f t="shared" si="7"/>
        <v>1.4071624569056418E-2</v>
      </c>
      <c r="H127" s="52">
        <v>107.5</v>
      </c>
      <c r="I127" s="11">
        <f t="shared" si="8"/>
        <v>1.2717852096090443E-2</v>
      </c>
      <c r="J127" s="52">
        <v>560.4</v>
      </c>
      <c r="K127" s="11">
        <f t="shared" si="9"/>
        <v>-2.2074862577436516E-2</v>
      </c>
      <c r="L127" s="52">
        <v>81.55</v>
      </c>
      <c r="M127" s="11">
        <f t="shared" si="10"/>
        <v>-6.1274509803921351E-4</v>
      </c>
      <c r="N127" s="52">
        <v>114.22</v>
      </c>
      <c r="O127" s="11">
        <f t="shared" si="11"/>
        <v>5.3301364810033114E-2</v>
      </c>
    </row>
    <row r="128" spans="2:15" x14ac:dyDescent="0.35">
      <c r="B128" s="56">
        <v>44961</v>
      </c>
      <c r="D128" s="46">
        <v>17599.150000000001</v>
      </c>
      <c r="E128" s="11">
        <f t="shared" si="6"/>
        <v>-1.2836549248373297E-2</v>
      </c>
      <c r="F128" s="52">
        <v>682.7</v>
      </c>
      <c r="G128" s="11">
        <f t="shared" si="7"/>
        <v>-5.2660792340248341E-2</v>
      </c>
      <c r="H128" s="52">
        <v>104.35</v>
      </c>
      <c r="I128" s="11">
        <f t="shared" si="8"/>
        <v>-2.930232558139545E-2</v>
      </c>
      <c r="J128" s="52">
        <v>544.29999999999995</v>
      </c>
      <c r="K128" s="11">
        <f t="shared" si="9"/>
        <v>-2.8729478943611775E-2</v>
      </c>
      <c r="L128" s="52">
        <v>82.1</v>
      </c>
      <c r="M128" s="11">
        <f t="shared" si="10"/>
        <v>6.7443286327406593E-3</v>
      </c>
      <c r="N128" s="52">
        <v>109.23</v>
      </c>
      <c r="O128" s="11">
        <f t="shared" si="11"/>
        <v>-4.3687620381719472E-2</v>
      </c>
    </row>
    <row r="129" spans="2:15" x14ac:dyDescent="0.35">
      <c r="B129" s="56" t="s">
        <v>121</v>
      </c>
      <c r="D129" s="46">
        <v>17359.75</v>
      </c>
      <c r="E129" s="11">
        <f t="shared" si="6"/>
        <v>-1.3602929686945209E-2</v>
      </c>
      <c r="F129" s="52">
        <v>688.1</v>
      </c>
      <c r="G129" s="11">
        <f t="shared" si="7"/>
        <v>7.9097700307602103E-3</v>
      </c>
      <c r="H129" s="52">
        <v>104.5</v>
      </c>
      <c r="I129" s="11">
        <f t="shared" si="8"/>
        <v>1.4374700527073347E-3</v>
      </c>
      <c r="J129" s="52">
        <v>546.20000000000005</v>
      </c>
      <c r="K129" s="11">
        <f t="shared" si="9"/>
        <v>3.4907220282933693E-3</v>
      </c>
      <c r="L129" s="52">
        <v>82.7</v>
      </c>
      <c r="M129" s="11">
        <f t="shared" si="10"/>
        <v>7.3081607795373316E-3</v>
      </c>
      <c r="N129" s="52">
        <v>106.41</v>
      </c>
      <c r="O129" s="11">
        <f t="shared" si="11"/>
        <v>-2.5817083218895975E-2</v>
      </c>
    </row>
    <row r="130" spans="2:15" x14ac:dyDescent="0.35">
      <c r="B130" s="56" t="s">
        <v>122</v>
      </c>
      <c r="D130" s="46">
        <v>16945.05</v>
      </c>
      <c r="E130" s="11">
        <f t="shared" si="6"/>
        <v>-2.388859286568068E-2</v>
      </c>
      <c r="F130" s="52">
        <v>657.8</v>
      </c>
      <c r="G130" s="11">
        <f t="shared" si="7"/>
        <v>-4.4034297340502904E-2</v>
      </c>
      <c r="H130" s="52">
        <v>102.1</v>
      </c>
      <c r="I130" s="11">
        <f t="shared" si="8"/>
        <v>-2.2966507177033524E-2</v>
      </c>
      <c r="J130" s="52">
        <v>534.1</v>
      </c>
      <c r="K130" s="11">
        <f t="shared" si="9"/>
        <v>-2.2153057488099592E-2</v>
      </c>
      <c r="L130" s="52">
        <v>82.35</v>
      </c>
      <c r="M130" s="11">
        <f t="shared" si="10"/>
        <v>-4.232164449818776E-3</v>
      </c>
      <c r="N130" s="52">
        <v>100.76</v>
      </c>
      <c r="O130" s="11">
        <f t="shared" si="11"/>
        <v>-5.3096513485574537E-2</v>
      </c>
    </row>
    <row r="131" spans="2:15" x14ac:dyDescent="0.35">
      <c r="B131" s="56">
        <v>45263</v>
      </c>
      <c r="D131" s="46">
        <v>17100.05</v>
      </c>
      <c r="E131" s="11">
        <f t="shared" si="6"/>
        <v>9.1472140831687643E-3</v>
      </c>
      <c r="F131" s="52">
        <v>676.4</v>
      </c>
      <c r="G131" s="11">
        <f t="shared" si="7"/>
        <v>2.8276071754332666E-2</v>
      </c>
      <c r="H131" s="52">
        <v>107</v>
      </c>
      <c r="I131" s="11">
        <f t="shared" si="8"/>
        <v>4.7992164544564231E-2</v>
      </c>
      <c r="J131" s="52">
        <v>572.04999999999995</v>
      </c>
      <c r="K131" s="11">
        <f t="shared" si="9"/>
        <v>7.1054109717281211E-2</v>
      </c>
      <c r="L131" s="52">
        <v>88.65</v>
      </c>
      <c r="M131" s="11">
        <f t="shared" si="10"/>
        <v>7.6502732240437243E-2</v>
      </c>
      <c r="N131" s="52">
        <v>108.45</v>
      </c>
      <c r="O131" s="11">
        <f t="shared" si="11"/>
        <v>7.6319968241365554E-2</v>
      </c>
    </row>
    <row r="132" spans="2:15" x14ac:dyDescent="0.35">
      <c r="B132" s="56">
        <v>45049</v>
      </c>
      <c r="D132" s="46">
        <v>17412.900000000001</v>
      </c>
      <c r="E132" s="11">
        <f t="shared" si="6"/>
        <v>1.829526814249105E-2</v>
      </c>
      <c r="F132" s="52">
        <v>679.4</v>
      </c>
      <c r="G132" s="11">
        <f t="shared" si="7"/>
        <v>4.4352454169129807E-3</v>
      </c>
      <c r="H132" s="52">
        <v>108.1</v>
      </c>
      <c r="I132" s="11">
        <f t="shared" si="8"/>
        <v>1.0280373831775602E-2</v>
      </c>
      <c r="J132" s="52">
        <v>576.29999999999995</v>
      </c>
      <c r="K132" s="11">
        <f t="shared" si="9"/>
        <v>7.429420505200568E-3</v>
      </c>
      <c r="L132" s="52">
        <v>88.1</v>
      </c>
      <c r="M132" s="11">
        <f t="shared" si="10"/>
        <v>-6.2041737168642141E-3</v>
      </c>
      <c r="N132" s="52">
        <v>119.13</v>
      </c>
      <c r="O132" s="11">
        <f t="shared" si="11"/>
        <v>9.847856154910084E-2</v>
      </c>
    </row>
    <row r="133" spans="2:15" x14ac:dyDescent="0.35">
      <c r="B133" s="56" t="s">
        <v>123</v>
      </c>
      <c r="D133" s="46">
        <v>17594.349999999999</v>
      </c>
      <c r="E133" s="11">
        <f t="shared" si="6"/>
        <v>1.0420435424311592E-2</v>
      </c>
      <c r="F133" s="52">
        <v>682.3</v>
      </c>
      <c r="G133" s="11">
        <f t="shared" si="7"/>
        <v>4.2684721813364135E-3</v>
      </c>
      <c r="H133" s="52">
        <v>107</v>
      </c>
      <c r="I133" s="11">
        <f t="shared" si="8"/>
        <v>-1.0175763182238562E-2</v>
      </c>
      <c r="J133" s="52">
        <v>589.04999999999995</v>
      </c>
      <c r="K133" s="11">
        <f t="shared" si="9"/>
        <v>2.2123893805309658E-2</v>
      </c>
      <c r="L133" s="52">
        <v>87.8</v>
      </c>
      <c r="M133" s="11">
        <f t="shared" si="10"/>
        <v>-3.4052213393870323E-3</v>
      </c>
      <c r="N133" s="52">
        <v>110.84</v>
      </c>
      <c r="O133" s="11">
        <f t="shared" si="11"/>
        <v>-6.958784521111383E-2</v>
      </c>
    </row>
    <row r="134" spans="2:15" x14ac:dyDescent="0.35">
      <c r="B134" s="56" t="s">
        <v>124</v>
      </c>
      <c r="D134" s="46">
        <v>17465.8</v>
      </c>
      <c r="E134" s="11">
        <f t="shared" si="6"/>
        <v>-7.3063227683887177E-3</v>
      </c>
      <c r="F134" s="52">
        <v>685</v>
      </c>
      <c r="G134" s="11">
        <f t="shared" si="7"/>
        <v>3.9572035761394897E-3</v>
      </c>
      <c r="H134" s="52">
        <v>109.75</v>
      </c>
      <c r="I134" s="11">
        <f t="shared" si="8"/>
        <v>2.5700934579439227E-2</v>
      </c>
      <c r="J134" s="52">
        <v>560.29999999999995</v>
      </c>
      <c r="K134" s="11">
        <f t="shared" si="9"/>
        <v>-4.8807401748578227E-2</v>
      </c>
      <c r="L134" s="52">
        <v>82.95</v>
      </c>
      <c r="M134" s="11">
        <f t="shared" si="10"/>
        <v>-5.523917995444183E-2</v>
      </c>
      <c r="N134" s="52">
        <v>111.7</v>
      </c>
      <c r="O134" s="11">
        <f t="shared" si="11"/>
        <v>7.7589317935762292E-3</v>
      </c>
    </row>
    <row r="135" spans="2:15" x14ac:dyDescent="0.35">
      <c r="B135" s="56">
        <v>45262</v>
      </c>
      <c r="D135" s="46">
        <v>17944.2</v>
      </c>
      <c r="E135" s="11">
        <f t="shared" si="6"/>
        <v>2.7390672056247123E-2</v>
      </c>
      <c r="F135" s="52">
        <v>728.4</v>
      </c>
      <c r="G135" s="11">
        <f t="shared" si="7"/>
        <v>6.3357664233576694E-2</v>
      </c>
      <c r="H135" s="52">
        <v>112.25</v>
      </c>
      <c r="I135" s="11">
        <f t="shared" si="8"/>
        <v>2.277904328018221E-2</v>
      </c>
      <c r="J135" s="52">
        <v>590.1</v>
      </c>
      <c r="K135" s="11">
        <f t="shared" si="9"/>
        <v>5.3185793325004616E-2</v>
      </c>
      <c r="L135" s="52">
        <v>86.15</v>
      </c>
      <c r="M135" s="11">
        <f t="shared" si="10"/>
        <v>3.8577456298975354E-2</v>
      </c>
      <c r="N135" s="52">
        <v>110.45</v>
      </c>
      <c r="O135" s="11">
        <f t="shared" si="11"/>
        <v>-1.1190689346463722E-2</v>
      </c>
    </row>
    <row r="136" spans="2:15" x14ac:dyDescent="0.35">
      <c r="B136" s="56">
        <v>45048</v>
      </c>
      <c r="D136" s="46">
        <v>17856.5</v>
      </c>
      <c r="E136" s="11">
        <f t="shared" si="6"/>
        <v>-4.8873730787664105E-3</v>
      </c>
      <c r="F136" s="52">
        <v>718.95</v>
      </c>
      <c r="G136" s="11">
        <f t="shared" si="7"/>
        <v>-1.2973640856672075E-2</v>
      </c>
      <c r="H136" s="52">
        <v>108.8</v>
      </c>
      <c r="I136" s="11">
        <f t="shared" si="8"/>
        <v>-3.0734966592427693E-2</v>
      </c>
      <c r="J136" s="52">
        <v>581.29999999999995</v>
      </c>
      <c r="K136" s="11">
        <f t="shared" si="9"/>
        <v>-1.4912726656499009E-2</v>
      </c>
      <c r="L136" s="52">
        <v>84.55</v>
      </c>
      <c r="M136" s="11">
        <f t="shared" si="10"/>
        <v>-1.8572257690075533E-2</v>
      </c>
      <c r="N136" s="52">
        <v>111.57</v>
      </c>
      <c r="O136" s="11">
        <f t="shared" si="11"/>
        <v>1.0140334993209432E-2</v>
      </c>
    </row>
    <row r="137" spans="2:15" x14ac:dyDescent="0.35">
      <c r="B137" s="56" t="s">
        <v>125</v>
      </c>
      <c r="D137" s="46">
        <v>17854.05</v>
      </c>
      <c r="E137" s="11">
        <f t="shared" si="6"/>
        <v>-1.3720493937785516E-4</v>
      </c>
      <c r="F137" s="52">
        <v>731.85</v>
      </c>
      <c r="G137" s="11">
        <f t="shared" si="7"/>
        <v>1.7942833298560279E-2</v>
      </c>
      <c r="H137" s="52">
        <v>120.35</v>
      </c>
      <c r="I137" s="11">
        <f t="shared" si="8"/>
        <v>0.10615808823529416</v>
      </c>
      <c r="J137" s="52">
        <v>582.65</v>
      </c>
      <c r="K137" s="11">
        <f t="shared" si="9"/>
        <v>2.3223808704628812E-3</v>
      </c>
      <c r="L137" s="52">
        <v>85.95</v>
      </c>
      <c r="M137" s="11">
        <f t="shared" si="10"/>
        <v>1.6558249556475557E-2</v>
      </c>
      <c r="N137" s="52">
        <v>105.51</v>
      </c>
      <c r="O137" s="11">
        <f t="shared" si="11"/>
        <v>-5.4315676257058243E-2</v>
      </c>
    </row>
    <row r="138" spans="2:15" x14ac:dyDescent="0.35">
      <c r="B138" s="56" t="s">
        <v>126</v>
      </c>
      <c r="D138" s="46">
        <v>17604.349999999999</v>
      </c>
      <c r="E138" s="11">
        <f t="shared" si="6"/>
        <v>-1.3985622309784063E-2</v>
      </c>
      <c r="F138" s="52">
        <v>721.35</v>
      </c>
      <c r="G138" s="11">
        <f t="shared" si="7"/>
        <v>-1.4347202295552419E-2</v>
      </c>
      <c r="H138" s="52">
        <v>120.65</v>
      </c>
      <c r="I138" s="11">
        <f t="shared" si="8"/>
        <v>2.492729538845051E-3</v>
      </c>
      <c r="J138" s="52">
        <v>588.15</v>
      </c>
      <c r="K138" s="11">
        <f t="shared" si="9"/>
        <v>9.4396292800136283E-3</v>
      </c>
      <c r="L138" s="52">
        <v>88.15</v>
      </c>
      <c r="M138" s="11">
        <f t="shared" si="10"/>
        <v>2.5596276905177406E-2</v>
      </c>
      <c r="N138" s="52">
        <v>106.13</v>
      </c>
      <c r="O138" s="11">
        <f t="shared" si="11"/>
        <v>5.8762202634821126E-3</v>
      </c>
    </row>
    <row r="139" spans="2:15" x14ac:dyDescent="0.35">
      <c r="B139" s="56" t="s">
        <v>127</v>
      </c>
      <c r="D139" s="46">
        <v>18027.650000000001</v>
      </c>
      <c r="E139" s="11">
        <f t="shared" si="6"/>
        <v>2.4045193375501039E-2</v>
      </c>
      <c r="F139" s="52">
        <v>741.45</v>
      </c>
      <c r="G139" s="11">
        <f t="shared" si="7"/>
        <v>2.786442087752139E-2</v>
      </c>
      <c r="H139" s="52">
        <v>122.95</v>
      </c>
      <c r="I139" s="11">
        <f t="shared" si="8"/>
        <v>1.9063406547865647E-2</v>
      </c>
      <c r="J139" s="52">
        <v>601.1</v>
      </c>
      <c r="K139" s="11">
        <f t="shared" si="9"/>
        <v>2.2018192637932588E-2</v>
      </c>
      <c r="L139" s="52">
        <v>91.5</v>
      </c>
      <c r="M139" s="11">
        <f t="shared" si="10"/>
        <v>3.800340328984686E-2</v>
      </c>
      <c r="N139" s="52">
        <v>111.22</v>
      </c>
      <c r="O139" s="11">
        <f t="shared" si="11"/>
        <v>4.7960048996513738E-2</v>
      </c>
    </row>
    <row r="140" spans="2:15" x14ac:dyDescent="0.35">
      <c r="B140" s="56">
        <v>45139</v>
      </c>
      <c r="D140" s="46">
        <v>17956.599999999999</v>
      </c>
      <c r="E140" s="11">
        <f t="shared" si="6"/>
        <v>-3.9411681500363116E-3</v>
      </c>
      <c r="F140" s="52">
        <v>768.5</v>
      </c>
      <c r="G140" s="11">
        <f t="shared" si="7"/>
        <v>3.6482567941196198E-2</v>
      </c>
      <c r="H140" s="52">
        <v>120.45</v>
      </c>
      <c r="I140" s="11">
        <f t="shared" si="8"/>
        <v>-2.0333468889792594E-2</v>
      </c>
      <c r="J140" s="52">
        <v>610</v>
      </c>
      <c r="K140" s="11">
        <f t="shared" si="9"/>
        <v>1.4806188654133967E-2</v>
      </c>
      <c r="L140" s="52">
        <v>88.85</v>
      </c>
      <c r="M140" s="11">
        <f t="shared" si="10"/>
        <v>-2.8961748633879791E-2</v>
      </c>
      <c r="N140" s="52">
        <v>108.53</v>
      </c>
      <c r="O140" s="11">
        <f t="shared" si="11"/>
        <v>-2.4186297428520076E-2</v>
      </c>
    </row>
    <row r="141" spans="2:15" x14ac:dyDescent="0.35">
      <c r="B141" s="56">
        <v>44927</v>
      </c>
      <c r="D141" s="46">
        <v>17859.45</v>
      </c>
      <c r="E141" s="11">
        <f t="shared" si="6"/>
        <v>-5.4102669770444978E-3</v>
      </c>
      <c r="F141" s="52">
        <v>728.35</v>
      </c>
      <c r="G141" s="11">
        <f t="shared" si="7"/>
        <v>-5.2244632400780699E-2</v>
      </c>
      <c r="H141" s="52">
        <v>115.65</v>
      </c>
      <c r="I141" s="11">
        <f t="shared" si="8"/>
        <v>-3.9850560398505541E-2</v>
      </c>
      <c r="J141" s="52">
        <v>591.1</v>
      </c>
      <c r="K141" s="11">
        <f t="shared" si="9"/>
        <v>-3.0983606557376975E-2</v>
      </c>
      <c r="L141" s="52">
        <v>85.9</v>
      </c>
      <c r="M141" s="11">
        <f t="shared" si="10"/>
        <v>-3.3202025886325148E-2</v>
      </c>
      <c r="N141" s="52">
        <v>108.92</v>
      </c>
      <c r="O141" s="11">
        <f t="shared" si="11"/>
        <v>3.5934764581222467E-3</v>
      </c>
    </row>
    <row r="142" spans="2:15" x14ac:dyDescent="0.35">
      <c r="B142" s="56" t="s">
        <v>128</v>
      </c>
      <c r="D142" s="46">
        <v>18105.3</v>
      </c>
      <c r="E142" s="11">
        <f t="shared" si="6"/>
        <v>1.3765821455867799E-2</v>
      </c>
      <c r="F142" s="52">
        <v>768.05</v>
      </c>
      <c r="G142" s="11">
        <f t="shared" si="7"/>
        <v>5.4506761858996278E-2</v>
      </c>
      <c r="H142" s="52">
        <v>112.65</v>
      </c>
      <c r="I142" s="11">
        <f t="shared" si="8"/>
        <v>-2.5940337224383936E-2</v>
      </c>
      <c r="J142" s="52">
        <v>580.6</v>
      </c>
      <c r="K142" s="11">
        <f t="shared" si="9"/>
        <v>-1.7763491794958508E-2</v>
      </c>
      <c r="L142" s="52">
        <v>82.65</v>
      </c>
      <c r="M142" s="11">
        <f t="shared" si="10"/>
        <v>-3.7834691501746232E-2</v>
      </c>
      <c r="N142" s="52">
        <v>103.86</v>
      </c>
      <c r="O142" s="11">
        <f t="shared" si="11"/>
        <v>-4.6456114579507934E-2</v>
      </c>
    </row>
    <row r="143" spans="2:15" x14ac:dyDescent="0.35">
      <c r="B143" s="56" t="s">
        <v>129</v>
      </c>
      <c r="D143" s="46">
        <v>17806.8</v>
      </c>
      <c r="E143" s="11">
        <f t="shared" ref="E143:E193" si="12">D143/D142-1</f>
        <v>-1.6486885055757128E-2</v>
      </c>
      <c r="F143" s="52">
        <v>727.85</v>
      </c>
      <c r="G143" s="11">
        <f t="shared" ref="G143:G193" si="13">F143/F142-1</f>
        <v>-5.2340342425623243E-2</v>
      </c>
      <c r="H143" s="52">
        <v>102.25</v>
      </c>
      <c r="I143" s="11">
        <f t="shared" ref="I143:I193" si="14">H143/H142-1</f>
        <v>-9.23213493120284E-2</v>
      </c>
      <c r="J143" s="52">
        <v>524.29999999999995</v>
      </c>
      <c r="K143" s="11">
        <f t="shared" ref="K143:K193" si="15">J143/J142-1</f>
        <v>-9.6968653117464831E-2</v>
      </c>
      <c r="L143" s="52">
        <v>74.7</v>
      </c>
      <c r="M143" s="11">
        <f t="shared" ref="M143:M193" si="16">L143/L142-1</f>
        <v>-9.6188747731397517E-2</v>
      </c>
      <c r="N143" s="52">
        <v>91.94</v>
      </c>
      <c r="O143" s="11">
        <f t="shared" ref="O143:O193" si="17">N143/N142-1</f>
        <v>-0.11476988253418063</v>
      </c>
    </row>
    <row r="144" spans="2:15" x14ac:dyDescent="0.35">
      <c r="B144" s="56">
        <v>44877</v>
      </c>
      <c r="D144" s="46">
        <v>18269</v>
      </c>
      <c r="E144" s="11">
        <f t="shared" si="12"/>
        <v>2.5956376215827692E-2</v>
      </c>
      <c r="F144" s="52">
        <v>743.45</v>
      </c>
      <c r="G144" s="11">
        <f t="shared" si="13"/>
        <v>2.1432987566119444E-2</v>
      </c>
      <c r="H144" s="52">
        <v>111.05</v>
      </c>
      <c r="I144" s="11">
        <f t="shared" si="14"/>
        <v>8.6063569682151453E-2</v>
      </c>
      <c r="J144" s="52">
        <v>542.9</v>
      </c>
      <c r="K144" s="11">
        <f t="shared" si="15"/>
        <v>3.5475872592027446E-2</v>
      </c>
      <c r="L144" s="52">
        <v>82.6</v>
      </c>
      <c r="M144" s="11">
        <f t="shared" si="16"/>
        <v>0.10575635876840694</v>
      </c>
      <c r="N144" s="52">
        <v>102.79</v>
      </c>
      <c r="O144" s="11">
        <f t="shared" si="17"/>
        <v>0.11801174679138571</v>
      </c>
    </row>
    <row r="145" spans="2:15" x14ac:dyDescent="0.35">
      <c r="B145" s="56">
        <v>44663</v>
      </c>
      <c r="D145" s="46">
        <v>18496.599999999999</v>
      </c>
      <c r="E145" s="11">
        <f t="shared" si="12"/>
        <v>1.2458262630685724E-2</v>
      </c>
      <c r="F145" s="52">
        <v>740.4</v>
      </c>
      <c r="G145" s="11">
        <f t="shared" si="13"/>
        <v>-4.1024951240837826E-3</v>
      </c>
      <c r="H145" s="52">
        <v>110.45</v>
      </c>
      <c r="I145" s="11">
        <f t="shared" si="14"/>
        <v>-5.4029716343988454E-3</v>
      </c>
      <c r="J145" s="52">
        <v>545.79999999999995</v>
      </c>
      <c r="K145" s="11">
        <f t="shared" si="15"/>
        <v>5.3416835512984928E-3</v>
      </c>
      <c r="L145" s="52">
        <v>84.55</v>
      </c>
      <c r="M145" s="11">
        <f t="shared" si="16"/>
        <v>2.3607748184019339E-2</v>
      </c>
      <c r="N145" s="52">
        <v>102.61</v>
      </c>
      <c r="O145" s="11">
        <f t="shared" si="17"/>
        <v>-1.7511431073061745E-3</v>
      </c>
    </row>
    <row r="146" spans="2:15" x14ac:dyDescent="0.35">
      <c r="B146" s="56" t="s">
        <v>130</v>
      </c>
      <c r="D146" s="46">
        <v>18696.099999999999</v>
      </c>
      <c r="E146" s="11">
        <f t="shared" si="12"/>
        <v>1.0785766032676225E-2</v>
      </c>
      <c r="F146" s="52">
        <v>743.05</v>
      </c>
      <c r="G146" s="11">
        <f t="shared" si="13"/>
        <v>3.5791464073473556E-3</v>
      </c>
      <c r="H146" s="52">
        <v>112</v>
      </c>
      <c r="I146" s="11">
        <f t="shared" si="14"/>
        <v>1.4033499320959653E-2</v>
      </c>
      <c r="J146" s="52">
        <v>564.45000000000005</v>
      </c>
      <c r="K146" s="11">
        <f t="shared" si="15"/>
        <v>3.4170025650421598E-2</v>
      </c>
      <c r="L146" s="52">
        <v>86.75</v>
      </c>
      <c r="M146" s="11">
        <f t="shared" si="16"/>
        <v>2.6020106445890034E-2</v>
      </c>
      <c r="N146" s="52">
        <v>104.22</v>
      </c>
      <c r="O146" s="11">
        <f t="shared" si="17"/>
        <v>1.5690478510866468E-2</v>
      </c>
    </row>
    <row r="147" spans="2:15" x14ac:dyDescent="0.35">
      <c r="B147" s="56" t="s">
        <v>131</v>
      </c>
      <c r="D147" s="46">
        <v>18512.75</v>
      </c>
      <c r="E147" s="11">
        <f t="shared" si="12"/>
        <v>-9.8068581147938705E-3</v>
      </c>
      <c r="F147" s="52">
        <v>726.2</v>
      </c>
      <c r="G147" s="11">
        <f t="shared" si="13"/>
        <v>-2.2676805060224625E-2</v>
      </c>
      <c r="H147" s="52">
        <v>106.2</v>
      </c>
      <c r="I147" s="11">
        <f t="shared" si="14"/>
        <v>-5.1785714285714213E-2</v>
      </c>
      <c r="J147" s="52">
        <v>520.79999999999995</v>
      </c>
      <c r="K147" s="11">
        <f t="shared" si="15"/>
        <v>-7.7331916024448777E-2</v>
      </c>
      <c r="L147" s="52">
        <v>83.35</v>
      </c>
      <c r="M147" s="11">
        <f t="shared" si="16"/>
        <v>-3.9193083573487053E-2</v>
      </c>
      <c r="N147" s="52">
        <v>92.72</v>
      </c>
      <c r="O147" s="11">
        <f t="shared" si="17"/>
        <v>-0.11034350412588756</v>
      </c>
    </row>
    <row r="148" spans="2:15" x14ac:dyDescent="0.35">
      <c r="B148" s="56" t="s">
        <v>132</v>
      </c>
      <c r="D148" s="46">
        <v>18307.650000000001</v>
      </c>
      <c r="E148" s="11">
        <f t="shared" si="12"/>
        <v>-1.1078851062105821E-2</v>
      </c>
      <c r="F148" s="52">
        <v>708.2</v>
      </c>
      <c r="G148" s="11">
        <f t="shared" si="13"/>
        <v>-2.478656017626002E-2</v>
      </c>
      <c r="H148" s="52">
        <v>105.5</v>
      </c>
      <c r="I148" s="11">
        <f t="shared" si="14"/>
        <v>-6.5913370998117449E-3</v>
      </c>
      <c r="J148" s="52">
        <v>517.75</v>
      </c>
      <c r="K148" s="11">
        <f t="shared" si="15"/>
        <v>-5.8563748079876188E-3</v>
      </c>
      <c r="L148" s="52">
        <v>80.650000000000006</v>
      </c>
      <c r="M148" s="11">
        <f t="shared" si="16"/>
        <v>-3.239352129574069E-2</v>
      </c>
      <c r="N148" s="52">
        <v>90.01</v>
      </c>
      <c r="O148" s="11">
        <f t="shared" si="17"/>
        <v>-2.9227782571181971E-2</v>
      </c>
    </row>
    <row r="149" spans="2:15" x14ac:dyDescent="0.35">
      <c r="B149" s="56">
        <v>44723</v>
      </c>
      <c r="D149" s="46">
        <v>18349.7</v>
      </c>
      <c r="E149" s="11">
        <f t="shared" si="12"/>
        <v>2.296854047351804E-3</v>
      </c>
      <c r="F149" s="52">
        <v>719</v>
      </c>
      <c r="G149" s="11">
        <f t="shared" si="13"/>
        <v>1.5249929398474915E-2</v>
      </c>
      <c r="H149" s="52">
        <v>107.55</v>
      </c>
      <c r="I149" s="11">
        <f t="shared" si="14"/>
        <v>1.9431279620853115E-2</v>
      </c>
      <c r="J149" s="52">
        <v>498.9</v>
      </c>
      <c r="K149" s="11">
        <f t="shared" si="15"/>
        <v>-3.6407532592950265E-2</v>
      </c>
      <c r="L149" s="52">
        <v>85.5</v>
      </c>
      <c r="M149" s="11">
        <f t="shared" si="16"/>
        <v>6.0136391816490997E-2</v>
      </c>
      <c r="N149" s="52">
        <v>86.82</v>
      </c>
      <c r="O149" s="11">
        <f t="shared" si="17"/>
        <v>-3.5440506610376787E-2</v>
      </c>
    </row>
    <row r="150" spans="2:15" x14ac:dyDescent="0.35">
      <c r="B150" s="56" t="s">
        <v>133</v>
      </c>
      <c r="D150" s="46">
        <v>18117.150000000001</v>
      </c>
      <c r="E150" s="11">
        <f t="shared" si="12"/>
        <v>-1.2673231714959932E-2</v>
      </c>
      <c r="F150" s="52">
        <v>701.75</v>
      </c>
      <c r="G150" s="11">
        <f t="shared" si="13"/>
        <v>-2.3991655076495144E-2</v>
      </c>
      <c r="H150" s="52">
        <v>104.75</v>
      </c>
      <c r="I150" s="11">
        <f t="shared" si="14"/>
        <v>-2.6034402603440254E-2</v>
      </c>
      <c r="J150" s="52">
        <v>477.35</v>
      </c>
      <c r="K150" s="11">
        <f t="shared" si="15"/>
        <v>-4.3195029063940571E-2</v>
      </c>
      <c r="L150" s="52">
        <v>84.1</v>
      </c>
      <c r="M150" s="11">
        <f t="shared" si="16"/>
        <v>-1.6374269005848041E-2</v>
      </c>
      <c r="N150" s="52">
        <v>83.91</v>
      </c>
      <c r="O150" s="11">
        <f t="shared" si="17"/>
        <v>-3.3517622667588065E-2</v>
      </c>
    </row>
    <row r="151" spans="2:15" x14ac:dyDescent="0.35">
      <c r="B151" s="56" t="s">
        <v>134</v>
      </c>
      <c r="D151" s="46">
        <v>17786.8</v>
      </c>
      <c r="E151" s="11">
        <f t="shared" si="12"/>
        <v>-1.8234104149935426E-2</v>
      </c>
      <c r="F151" s="52">
        <v>670.4</v>
      </c>
      <c r="G151" s="11">
        <f t="shared" si="13"/>
        <v>-4.4674029212682598E-2</v>
      </c>
      <c r="H151" s="52">
        <v>101.6</v>
      </c>
      <c r="I151" s="11">
        <f t="shared" si="14"/>
        <v>-3.0071599045346065E-2</v>
      </c>
      <c r="J151" s="52">
        <v>453.9</v>
      </c>
      <c r="K151" s="11">
        <f t="shared" si="15"/>
        <v>-4.9125379700429517E-2</v>
      </c>
      <c r="L151" s="52">
        <v>78.95</v>
      </c>
      <c r="M151" s="11">
        <f t="shared" si="16"/>
        <v>-6.123662306777633E-2</v>
      </c>
      <c r="N151" s="52">
        <v>81.62</v>
      </c>
      <c r="O151" s="11">
        <f t="shared" si="17"/>
        <v>-2.7291145274699002E-2</v>
      </c>
    </row>
    <row r="152" spans="2:15" x14ac:dyDescent="0.35">
      <c r="B152" s="56" t="s">
        <v>135</v>
      </c>
      <c r="D152" s="46">
        <v>17576.3</v>
      </c>
      <c r="E152" s="11">
        <f t="shared" si="12"/>
        <v>-1.1834618930892549E-2</v>
      </c>
      <c r="F152" s="52">
        <v>622.04999999999995</v>
      </c>
      <c r="G152" s="11">
        <f t="shared" si="13"/>
        <v>-7.2121121718377146E-2</v>
      </c>
      <c r="H152" s="52">
        <v>100.2</v>
      </c>
      <c r="I152" s="11">
        <f t="shared" si="14"/>
        <v>-1.3779527559054983E-2</v>
      </c>
      <c r="J152" s="52">
        <v>437.95</v>
      </c>
      <c r="K152" s="11">
        <f t="shared" si="15"/>
        <v>-3.5139898656091573E-2</v>
      </c>
      <c r="L152" s="52">
        <v>77.849999999999994</v>
      </c>
      <c r="M152" s="11">
        <f t="shared" si="16"/>
        <v>-1.3932868904369955E-2</v>
      </c>
      <c r="N152" s="52">
        <v>81.67</v>
      </c>
      <c r="O152" s="11">
        <f t="shared" si="17"/>
        <v>6.1259495221754889E-4</v>
      </c>
    </row>
    <row r="153" spans="2:15" x14ac:dyDescent="0.35">
      <c r="B153" s="56">
        <v>44814</v>
      </c>
      <c r="D153" s="46">
        <v>17185.7</v>
      </c>
      <c r="E153" s="11">
        <f t="shared" si="12"/>
        <v>-2.2223107252379526E-2</v>
      </c>
      <c r="F153" s="52">
        <v>640.25</v>
      </c>
      <c r="G153" s="11">
        <f t="shared" si="13"/>
        <v>2.925809822361547E-2</v>
      </c>
      <c r="H153" s="52">
        <v>100.1</v>
      </c>
      <c r="I153" s="11">
        <f t="shared" si="14"/>
        <v>-9.9800399201610546E-4</v>
      </c>
      <c r="J153" s="52">
        <v>435.85</v>
      </c>
      <c r="K153" s="11">
        <f t="shared" si="15"/>
        <v>-4.79506793012896E-3</v>
      </c>
      <c r="L153" s="52">
        <v>77.900000000000006</v>
      </c>
      <c r="M153" s="11">
        <f t="shared" si="16"/>
        <v>6.4226075786777415E-4</v>
      </c>
      <c r="N153" s="52">
        <v>81.06</v>
      </c>
      <c r="O153" s="11">
        <f t="shared" si="17"/>
        <v>-7.4690828945757071E-3</v>
      </c>
    </row>
    <row r="154" spans="2:15" x14ac:dyDescent="0.35">
      <c r="B154" s="56">
        <v>44602</v>
      </c>
      <c r="D154" s="46">
        <v>17314.650000000001</v>
      </c>
      <c r="E154" s="11">
        <f t="shared" si="12"/>
        <v>7.5033312579644296E-3</v>
      </c>
      <c r="F154" s="52">
        <v>666.05</v>
      </c>
      <c r="G154" s="11">
        <f t="shared" si="13"/>
        <v>4.0296759078484845E-2</v>
      </c>
      <c r="H154" s="52">
        <v>103.3</v>
      </c>
      <c r="I154" s="11">
        <f t="shared" si="14"/>
        <v>3.1968031968031996E-2</v>
      </c>
      <c r="J154" s="52">
        <v>446.3</v>
      </c>
      <c r="K154" s="11">
        <f t="shared" si="15"/>
        <v>2.3976138579786532E-2</v>
      </c>
      <c r="L154" s="52">
        <v>81.05</v>
      </c>
      <c r="M154" s="11">
        <f t="shared" si="16"/>
        <v>4.043645699614884E-2</v>
      </c>
      <c r="N154" s="52">
        <v>85.53</v>
      </c>
      <c r="O154" s="11">
        <f t="shared" si="17"/>
        <v>5.5144337527757159E-2</v>
      </c>
    </row>
    <row r="155" spans="2:15" x14ac:dyDescent="0.35">
      <c r="B155" s="56" t="s">
        <v>136</v>
      </c>
      <c r="D155" s="46">
        <v>17094.349999999999</v>
      </c>
      <c r="E155" s="11">
        <f t="shared" si="12"/>
        <v>-1.2723329665918937E-2</v>
      </c>
      <c r="F155" s="52">
        <v>631.65</v>
      </c>
      <c r="G155" s="11">
        <f t="shared" si="13"/>
        <v>-5.1647774191126761E-2</v>
      </c>
      <c r="H155" s="52">
        <v>99.3</v>
      </c>
      <c r="I155" s="11">
        <f t="shared" si="14"/>
        <v>-3.8722168441432725E-2</v>
      </c>
      <c r="J155" s="52">
        <v>428.6</v>
      </c>
      <c r="K155" s="11">
        <f t="shared" si="15"/>
        <v>-3.9659421913511017E-2</v>
      </c>
      <c r="L155" s="52">
        <v>76.75</v>
      </c>
      <c r="M155" s="11">
        <f t="shared" si="16"/>
        <v>-5.3053670573719902E-2</v>
      </c>
      <c r="N155" s="52">
        <v>86.82</v>
      </c>
      <c r="O155" s="11">
        <f t="shared" si="17"/>
        <v>1.5082427218519712E-2</v>
      </c>
    </row>
    <row r="156" spans="2:15" x14ac:dyDescent="0.35">
      <c r="B156" s="56" t="s">
        <v>137</v>
      </c>
      <c r="D156" s="46">
        <v>17327.349999999999</v>
      </c>
      <c r="E156" s="11">
        <f t="shared" si="12"/>
        <v>1.3630234551182063E-2</v>
      </c>
      <c r="F156" s="52">
        <v>669</v>
      </c>
      <c r="G156" s="11">
        <f t="shared" si="13"/>
        <v>5.9130847779624851E-2</v>
      </c>
      <c r="H156" s="52">
        <v>104.3</v>
      </c>
      <c r="I156" s="11">
        <f t="shared" si="14"/>
        <v>5.0352467270896373E-2</v>
      </c>
      <c r="J156" s="52">
        <v>425.8</v>
      </c>
      <c r="K156" s="11">
        <f t="shared" si="15"/>
        <v>-6.5328978068128762E-3</v>
      </c>
      <c r="L156" s="52">
        <v>78.150000000000006</v>
      </c>
      <c r="M156" s="11">
        <f t="shared" si="16"/>
        <v>1.8241042345277014E-2</v>
      </c>
      <c r="N156" s="52">
        <v>84.78</v>
      </c>
      <c r="O156" s="11">
        <f t="shared" si="17"/>
        <v>-2.3496890117484348E-2</v>
      </c>
    </row>
    <row r="157" spans="2:15" x14ac:dyDescent="0.35">
      <c r="B157" s="56">
        <v>44874</v>
      </c>
      <c r="D157" s="46">
        <v>17530.849999999999</v>
      </c>
      <c r="E157" s="11">
        <f t="shared" si="12"/>
        <v>1.1744438705283855E-2</v>
      </c>
      <c r="F157" s="52">
        <v>685.85</v>
      </c>
      <c r="G157" s="11">
        <f t="shared" si="13"/>
        <v>2.5186846038864008E-2</v>
      </c>
      <c r="H157" s="52">
        <v>105.7</v>
      </c>
      <c r="I157" s="11">
        <f t="shared" si="14"/>
        <v>1.3422818791946289E-2</v>
      </c>
      <c r="J157" s="52">
        <v>435.8</v>
      </c>
      <c r="K157" s="11">
        <f t="shared" si="15"/>
        <v>2.3485204321277653E-2</v>
      </c>
      <c r="L157" s="52">
        <v>80.650000000000006</v>
      </c>
      <c r="M157" s="11">
        <f t="shared" si="16"/>
        <v>3.1989763275751759E-2</v>
      </c>
      <c r="N157" s="52">
        <v>90.56</v>
      </c>
      <c r="O157" s="11">
        <f t="shared" si="17"/>
        <v>6.8176456711488642E-2</v>
      </c>
    </row>
    <row r="158" spans="2:15" x14ac:dyDescent="0.35">
      <c r="B158" s="56">
        <v>44660</v>
      </c>
      <c r="D158" s="46">
        <v>17833.349999999999</v>
      </c>
      <c r="E158" s="11">
        <f t="shared" si="12"/>
        <v>1.7255295664500014E-2</v>
      </c>
      <c r="F158" s="52">
        <v>686.95</v>
      </c>
      <c r="G158" s="11">
        <f t="shared" si="13"/>
        <v>1.6038492381715841E-3</v>
      </c>
      <c r="H158" s="52">
        <v>105.7</v>
      </c>
      <c r="I158" s="11">
        <f t="shared" si="14"/>
        <v>0</v>
      </c>
      <c r="J158" s="52">
        <v>430.95</v>
      </c>
      <c r="K158" s="11">
        <f t="shared" si="15"/>
        <v>-1.1128958237723752E-2</v>
      </c>
      <c r="L158" s="52">
        <v>82.15</v>
      </c>
      <c r="M158" s="11">
        <f t="shared" si="16"/>
        <v>1.8598884066955979E-2</v>
      </c>
      <c r="N158" s="52">
        <v>89.33</v>
      </c>
      <c r="O158" s="11">
        <f t="shared" si="17"/>
        <v>-1.3582155477031899E-2</v>
      </c>
    </row>
    <row r="159" spans="2:15" x14ac:dyDescent="0.35">
      <c r="B159" s="56" t="s">
        <v>138</v>
      </c>
      <c r="D159" s="46">
        <v>17539.45</v>
      </c>
      <c r="E159" s="11">
        <f t="shared" si="12"/>
        <v>-1.6480358429571407E-2</v>
      </c>
      <c r="F159" s="52">
        <v>661.4</v>
      </c>
      <c r="G159" s="11">
        <f t="shared" si="13"/>
        <v>-3.7193391076497662E-2</v>
      </c>
      <c r="H159" s="52">
        <v>105.5</v>
      </c>
      <c r="I159" s="11">
        <f t="shared" si="14"/>
        <v>-1.8921475875118832E-3</v>
      </c>
      <c r="J159" s="52">
        <v>418.2</v>
      </c>
      <c r="K159" s="11">
        <f t="shared" si="15"/>
        <v>-2.9585798816568087E-2</v>
      </c>
      <c r="L159" s="52">
        <v>79.2</v>
      </c>
      <c r="M159" s="11">
        <f t="shared" si="16"/>
        <v>-3.5909920876445511E-2</v>
      </c>
      <c r="N159" s="52">
        <v>88.51</v>
      </c>
      <c r="O159" s="11">
        <f t="shared" si="17"/>
        <v>-9.1794469942907408E-3</v>
      </c>
    </row>
    <row r="160" spans="2:15" x14ac:dyDescent="0.35">
      <c r="B160" s="56" t="s">
        <v>139</v>
      </c>
      <c r="D160" s="46">
        <v>17558.900000000001</v>
      </c>
      <c r="E160" s="11">
        <f t="shared" si="12"/>
        <v>1.1089287292360694E-3</v>
      </c>
      <c r="F160" s="52">
        <v>667</v>
      </c>
      <c r="G160" s="11">
        <f t="shared" si="13"/>
        <v>8.4668884185061799E-3</v>
      </c>
      <c r="H160" s="52">
        <v>107.35</v>
      </c>
      <c r="I160" s="11">
        <f t="shared" si="14"/>
        <v>1.7535545023696697E-2</v>
      </c>
      <c r="J160" s="52">
        <v>419.65</v>
      </c>
      <c r="K160" s="11">
        <f t="shared" si="15"/>
        <v>3.4672405547584439E-3</v>
      </c>
      <c r="L160" s="52">
        <v>81.7</v>
      </c>
      <c r="M160" s="11">
        <f t="shared" si="16"/>
        <v>3.1565656565656575E-2</v>
      </c>
      <c r="N160" s="52">
        <v>88.78</v>
      </c>
      <c r="O160" s="11">
        <f t="shared" si="17"/>
        <v>3.0505027680487462E-3</v>
      </c>
    </row>
    <row r="161" spans="2:15" x14ac:dyDescent="0.35">
      <c r="B161" s="56" t="s">
        <v>140</v>
      </c>
      <c r="D161" s="46">
        <v>17758.45</v>
      </c>
      <c r="E161" s="11">
        <f t="shared" si="12"/>
        <v>1.1364607122313908E-2</v>
      </c>
      <c r="F161" s="52">
        <v>664.55</v>
      </c>
      <c r="G161" s="11">
        <f t="shared" si="13"/>
        <v>-3.6731634182909367E-3</v>
      </c>
      <c r="H161" s="52">
        <v>110.05</v>
      </c>
      <c r="I161" s="11">
        <f t="shared" si="14"/>
        <v>2.5151374010246919E-2</v>
      </c>
      <c r="J161" s="52">
        <v>403.95</v>
      </c>
      <c r="K161" s="11">
        <f t="shared" si="15"/>
        <v>-3.7412129155248386E-2</v>
      </c>
      <c r="L161" s="52">
        <v>81.75</v>
      </c>
      <c r="M161" s="11">
        <f t="shared" si="16"/>
        <v>6.1199510403908697E-4</v>
      </c>
      <c r="N161" s="52">
        <v>87.81</v>
      </c>
      <c r="O161" s="11">
        <f t="shared" si="17"/>
        <v>-1.092588420815499E-2</v>
      </c>
    </row>
    <row r="162" spans="2:15" x14ac:dyDescent="0.35">
      <c r="B162" s="56">
        <v>44750</v>
      </c>
      <c r="D162" s="46">
        <v>17698.150000000001</v>
      </c>
      <c r="E162" s="11">
        <f t="shared" si="12"/>
        <v>-3.3955666175820021E-3</v>
      </c>
      <c r="F162" s="52">
        <v>678.2</v>
      </c>
      <c r="G162" s="11">
        <f t="shared" si="13"/>
        <v>2.0540215183206811E-2</v>
      </c>
      <c r="H162" s="52">
        <v>112.65</v>
      </c>
      <c r="I162" s="11">
        <f t="shared" si="14"/>
        <v>2.362562471603824E-2</v>
      </c>
      <c r="J162" s="52">
        <v>404.35</v>
      </c>
      <c r="K162" s="11">
        <f t="shared" si="15"/>
        <v>9.902215620745114E-4</v>
      </c>
      <c r="L162" s="52">
        <v>81.599999999999994</v>
      </c>
      <c r="M162" s="11">
        <f t="shared" si="16"/>
        <v>-1.8348623853211565E-3</v>
      </c>
      <c r="N162" s="52">
        <v>86.69</v>
      </c>
      <c r="O162" s="11">
        <f t="shared" si="17"/>
        <v>-1.2754811524883336E-2</v>
      </c>
    </row>
    <row r="163" spans="2:15" x14ac:dyDescent="0.35">
      <c r="B163" s="56" t="s">
        <v>141</v>
      </c>
      <c r="D163" s="46">
        <v>17397.5</v>
      </c>
      <c r="E163" s="11">
        <f t="shared" si="12"/>
        <v>-1.6987651251684555E-2</v>
      </c>
      <c r="F163" s="52">
        <v>667.15</v>
      </c>
      <c r="G163" s="11">
        <f t="shared" si="13"/>
        <v>-1.6293128870539797E-2</v>
      </c>
      <c r="H163" s="52">
        <v>107.35</v>
      </c>
      <c r="I163" s="11">
        <f t="shared" si="14"/>
        <v>-4.7048379937860707E-2</v>
      </c>
      <c r="J163" s="52">
        <v>392.8</v>
      </c>
      <c r="K163" s="11">
        <f t="shared" si="15"/>
        <v>-2.8564362557190526E-2</v>
      </c>
      <c r="L163" s="52">
        <v>77.599999999999994</v>
      </c>
      <c r="M163" s="11">
        <f t="shared" si="16"/>
        <v>-4.9019607843137303E-2</v>
      </c>
      <c r="N163" s="52">
        <v>87.22</v>
      </c>
      <c r="O163" s="11">
        <f t="shared" si="17"/>
        <v>6.1137386088361279E-3</v>
      </c>
    </row>
    <row r="164" spans="2:15" x14ac:dyDescent="0.35">
      <c r="B164" s="56" t="s">
        <v>142</v>
      </c>
      <c r="D164" s="46">
        <v>17158.25</v>
      </c>
      <c r="E164" s="11">
        <f t="shared" si="12"/>
        <v>-1.3751975858600329E-2</v>
      </c>
      <c r="F164" s="52">
        <v>629.6</v>
      </c>
      <c r="G164" s="11">
        <f t="shared" si="13"/>
        <v>-5.6284193959379336E-2</v>
      </c>
      <c r="H164" s="52">
        <v>107.6</v>
      </c>
      <c r="I164" s="11">
        <f t="shared" si="14"/>
        <v>2.3288309268747476E-3</v>
      </c>
      <c r="J164" s="52">
        <v>389.05</v>
      </c>
      <c r="K164" s="11">
        <f t="shared" si="15"/>
        <v>-9.5468431771894569E-3</v>
      </c>
      <c r="L164" s="52">
        <v>77.150000000000006</v>
      </c>
      <c r="M164" s="11">
        <f t="shared" si="16"/>
        <v>-5.7989690721648168E-3</v>
      </c>
      <c r="N164" s="52">
        <v>95.08</v>
      </c>
      <c r="O164" s="11">
        <f t="shared" si="17"/>
        <v>9.0116945654666436E-2</v>
      </c>
    </row>
    <row r="165" spans="2:15" x14ac:dyDescent="0.35">
      <c r="B165" s="56" t="s">
        <v>143</v>
      </c>
      <c r="D165" s="46">
        <v>16719.45</v>
      </c>
      <c r="E165" s="11">
        <f t="shared" si="12"/>
        <v>-2.5573703611965093E-2</v>
      </c>
      <c r="F165" s="52">
        <v>582.45000000000005</v>
      </c>
      <c r="G165" s="11">
        <f t="shared" si="13"/>
        <v>-7.4888818297331627E-2</v>
      </c>
      <c r="H165" s="52">
        <v>93.61</v>
      </c>
      <c r="I165" s="11">
        <f t="shared" si="14"/>
        <v>-0.1300185873605948</v>
      </c>
      <c r="J165" s="52">
        <v>360.2</v>
      </c>
      <c r="K165" s="11">
        <f t="shared" si="15"/>
        <v>-7.4154992931499852E-2</v>
      </c>
      <c r="L165" s="52">
        <v>75.3</v>
      </c>
      <c r="M165" s="11">
        <f t="shared" si="16"/>
        <v>-2.3979261179520539E-2</v>
      </c>
      <c r="N165" s="52">
        <v>92.33</v>
      </c>
      <c r="O165" s="11">
        <f t="shared" si="17"/>
        <v>-2.8923012200252396E-2</v>
      </c>
    </row>
    <row r="166" spans="2:15" x14ac:dyDescent="0.35">
      <c r="B166" s="56">
        <v>44841</v>
      </c>
      <c r="D166" s="46">
        <v>16049.2</v>
      </c>
      <c r="E166" s="11">
        <f t="shared" si="12"/>
        <v>-4.0088041173603206E-2</v>
      </c>
      <c r="F166" s="52">
        <v>576.4</v>
      </c>
      <c r="G166" s="11">
        <f t="shared" si="13"/>
        <v>-1.0387157695939675E-2</v>
      </c>
      <c r="H166" s="52">
        <v>88.38</v>
      </c>
      <c r="I166" s="11">
        <f t="shared" si="14"/>
        <v>-5.5870099348360291E-2</v>
      </c>
      <c r="J166" s="52">
        <v>345.5</v>
      </c>
      <c r="K166" s="11">
        <f t="shared" si="15"/>
        <v>-4.0810660744031058E-2</v>
      </c>
      <c r="L166" s="52">
        <v>69.349999999999994</v>
      </c>
      <c r="M166" s="11">
        <f t="shared" si="16"/>
        <v>-7.901726427622846E-2</v>
      </c>
      <c r="N166" s="52">
        <v>86.75</v>
      </c>
      <c r="O166" s="11">
        <f t="shared" si="17"/>
        <v>-6.043539477959492E-2</v>
      </c>
    </row>
    <row r="167" spans="2:15" x14ac:dyDescent="0.35">
      <c r="B167" s="56">
        <v>44627</v>
      </c>
      <c r="D167" s="46">
        <v>16220.6</v>
      </c>
      <c r="E167" s="11">
        <f t="shared" si="12"/>
        <v>1.0679660045360473E-2</v>
      </c>
      <c r="F167" s="52">
        <v>566.20000000000005</v>
      </c>
      <c r="G167" s="11">
        <f t="shared" si="13"/>
        <v>-1.7696044413601508E-2</v>
      </c>
      <c r="H167" s="52">
        <v>88.59</v>
      </c>
      <c r="I167" s="11">
        <f t="shared" si="14"/>
        <v>2.3761031907671981E-3</v>
      </c>
      <c r="J167" s="52">
        <v>343.4</v>
      </c>
      <c r="K167" s="11">
        <f t="shared" si="15"/>
        <v>-6.0781476121564149E-3</v>
      </c>
      <c r="L167" s="52">
        <v>71.599999999999994</v>
      </c>
      <c r="M167" s="11">
        <f t="shared" si="16"/>
        <v>3.2444124008651709E-2</v>
      </c>
      <c r="N167" s="52">
        <v>87.46</v>
      </c>
      <c r="O167" s="11">
        <f t="shared" si="17"/>
        <v>8.1844380403457428E-3</v>
      </c>
    </row>
    <row r="168" spans="2:15" x14ac:dyDescent="0.35">
      <c r="B168" s="56" t="s">
        <v>144</v>
      </c>
      <c r="D168" s="46">
        <v>15752.05</v>
      </c>
      <c r="E168" s="11">
        <f t="shared" si="12"/>
        <v>-2.8886107788861137E-2</v>
      </c>
      <c r="F168" s="52">
        <v>578.85</v>
      </c>
      <c r="G168" s="11">
        <f t="shared" si="13"/>
        <v>2.2341928647121145E-2</v>
      </c>
      <c r="H168" s="52">
        <v>87.29</v>
      </c>
      <c r="I168" s="11">
        <f t="shared" si="14"/>
        <v>-1.4674342476577507E-2</v>
      </c>
      <c r="J168" s="52">
        <v>332.95</v>
      </c>
      <c r="K168" s="11">
        <f t="shared" si="15"/>
        <v>-3.0430984274898099E-2</v>
      </c>
      <c r="L168" s="52">
        <v>69.900000000000006</v>
      </c>
      <c r="M168" s="11">
        <f t="shared" si="16"/>
        <v>-2.3743016759776414E-2</v>
      </c>
      <c r="N168" s="52">
        <v>81.569999999999993</v>
      </c>
      <c r="O168" s="11">
        <f t="shared" si="17"/>
        <v>-6.7345072032929387E-2</v>
      </c>
    </row>
    <row r="169" spans="2:15" x14ac:dyDescent="0.35">
      <c r="B169" s="56" t="s">
        <v>145</v>
      </c>
      <c r="D169" s="46">
        <v>15699.25</v>
      </c>
      <c r="E169" s="11">
        <f t="shared" si="12"/>
        <v>-3.3519446675194242E-3</v>
      </c>
      <c r="F169" s="52">
        <v>567.79999999999995</v>
      </c>
      <c r="G169" s="11">
        <f t="shared" si="13"/>
        <v>-1.9089574155653599E-2</v>
      </c>
      <c r="H169" s="52">
        <v>85.29</v>
      </c>
      <c r="I169" s="11">
        <f t="shared" si="14"/>
        <v>-2.2912131973880201E-2</v>
      </c>
      <c r="J169" s="52">
        <v>317.60000000000002</v>
      </c>
      <c r="K169" s="11">
        <f t="shared" si="15"/>
        <v>-4.6103018471241874E-2</v>
      </c>
      <c r="L169" s="52">
        <v>68</v>
      </c>
      <c r="M169" s="11">
        <f t="shared" si="16"/>
        <v>-2.7181688125894166E-2</v>
      </c>
      <c r="N169" s="52">
        <v>79.739999999999995</v>
      </c>
      <c r="O169" s="11">
        <f t="shared" si="17"/>
        <v>-2.2434718646561214E-2</v>
      </c>
    </row>
    <row r="170" spans="2:15" x14ac:dyDescent="0.35">
      <c r="B170" s="56">
        <v>44901</v>
      </c>
      <c r="D170" s="46">
        <v>15293.5</v>
      </c>
      <c r="E170" s="11">
        <f t="shared" si="12"/>
        <v>-2.5845183687118856E-2</v>
      </c>
      <c r="F170" s="52">
        <v>554.6</v>
      </c>
      <c r="G170" s="11">
        <f t="shared" si="13"/>
        <v>-2.3247622402254198E-2</v>
      </c>
      <c r="H170" s="52">
        <v>90.67</v>
      </c>
      <c r="I170" s="11">
        <f t="shared" si="14"/>
        <v>6.3078907257591688E-2</v>
      </c>
      <c r="J170" s="52">
        <v>329.2</v>
      </c>
      <c r="K170" s="11">
        <f t="shared" si="15"/>
        <v>3.6523929471032668E-2</v>
      </c>
      <c r="L170" s="52">
        <v>68.45</v>
      </c>
      <c r="M170" s="11">
        <f t="shared" si="16"/>
        <v>6.6176470588235059E-3</v>
      </c>
      <c r="N170" s="52">
        <v>77.16</v>
      </c>
      <c r="O170" s="11">
        <f t="shared" si="17"/>
        <v>-3.2355154251316742E-2</v>
      </c>
    </row>
    <row r="171" spans="2:15" x14ac:dyDescent="0.35">
      <c r="B171" s="56">
        <v>44687</v>
      </c>
      <c r="D171" s="46">
        <v>16201.8</v>
      </c>
      <c r="E171" s="11">
        <f t="shared" si="12"/>
        <v>5.9391244646418428E-2</v>
      </c>
      <c r="F171" s="52">
        <v>572.5</v>
      </c>
      <c r="G171" s="11">
        <f t="shared" si="13"/>
        <v>3.2275513883880169E-2</v>
      </c>
      <c r="H171" s="52">
        <v>102.37</v>
      </c>
      <c r="I171" s="11">
        <f t="shared" si="14"/>
        <v>0.12903937355244288</v>
      </c>
      <c r="J171" s="52">
        <v>367.55</v>
      </c>
      <c r="K171" s="11">
        <f t="shared" si="15"/>
        <v>0.11649453219927097</v>
      </c>
      <c r="L171" s="52">
        <v>73.3</v>
      </c>
      <c r="M171" s="11">
        <f t="shared" si="16"/>
        <v>7.0854638422205962E-2</v>
      </c>
      <c r="N171" s="52">
        <v>88.19</v>
      </c>
      <c r="O171" s="11">
        <f t="shared" si="17"/>
        <v>0.14294971487817532</v>
      </c>
    </row>
    <row r="172" spans="2:15" x14ac:dyDescent="0.35">
      <c r="B172" s="56" t="s">
        <v>146</v>
      </c>
      <c r="D172" s="46">
        <v>16584.3</v>
      </c>
      <c r="E172" s="11">
        <f t="shared" si="12"/>
        <v>2.3608487945783851E-2</v>
      </c>
      <c r="F172" s="52">
        <v>562.45000000000005</v>
      </c>
      <c r="G172" s="11">
        <f t="shared" si="13"/>
        <v>-1.7554585152838365E-2</v>
      </c>
      <c r="H172" s="52">
        <v>106.73</v>
      </c>
      <c r="I172" s="11">
        <f t="shared" si="14"/>
        <v>4.2590602715639303E-2</v>
      </c>
      <c r="J172" s="52">
        <v>363.5</v>
      </c>
      <c r="K172" s="11">
        <f t="shared" si="15"/>
        <v>-1.1018908991973886E-2</v>
      </c>
      <c r="L172" s="52">
        <v>75.650000000000006</v>
      </c>
      <c r="M172" s="11">
        <f t="shared" si="16"/>
        <v>3.2060027285129689E-2</v>
      </c>
      <c r="N172" s="52">
        <v>87.83</v>
      </c>
      <c r="O172" s="11">
        <f t="shared" si="17"/>
        <v>-4.0820954756775052E-3</v>
      </c>
    </row>
    <row r="173" spans="2:15" x14ac:dyDescent="0.35">
      <c r="B173" s="56" t="s">
        <v>147</v>
      </c>
      <c r="D173" s="46">
        <v>16352.45</v>
      </c>
      <c r="E173" s="11">
        <f t="shared" si="12"/>
        <v>-1.3980089602817047E-2</v>
      </c>
      <c r="F173" s="52">
        <v>548.4</v>
      </c>
      <c r="G173" s="11">
        <f t="shared" si="13"/>
        <v>-2.4979998222064315E-2</v>
      </c>
      <c r="H173" s="52">
        <v>104.35</v>
      </c>
      <c r="I173" s="11">
        <f t="shared" si="14"/>
        <v>-2.2299259814485217E-2</v>
      </c>
      <c r="J173" s="52">
        <v>396.45</v>
      </c>
      <c r="K173" s="11">
        <f t="shared" si="15"/>
        <v>9.0646492434663051E-2</v>
      </c>
      <c r="L173" s="52">
        <v>74.2</v>
      </c>
      <c r="M173" s="11">
        <f t="shared" si="16"/>
        <v>-1.9167217448777252E-2</v>
      </c>
      <c r="N173" s="52">
        <v>88.22</v>
      </c>
      <c r="O173" s="11">
        <f t="shared" si="17"/>
        <v>4.4403962199703884E-3</v>
      </c>
    </row>
    <row r="174" spans="2:15" x14ac:dyDescent="0.35">
      <c r="B174" s="56" t="s">
        <v>148</v>
      </c>
      <c r="D174" s="46">
        <v>16266.15</v>
      </c>
      <c r="E174" s="11">
        <f t="shared" si="12"/>
        <v>-5.2774966442338256E-3</v>
      </c>
      <c r="F174" s="52">
        <v>631.1</v>
      </c>
      <c r="G174" s="11">
        <f t="shared" si="13"/>
        <v>0.15080233406272803</v>
      </c>
      <c r="H174" s="52">
        <v>117.06</v>
      </c>
      <c r="I174" s="11">
        <f t="shared" si="14"/>
        <v>0.12180162913272641</v>
      </c>
      <c r="J174" s="52">
        <v>478.8</v>
      </c>
      <c r="K174" s="11">
        <f t="shared" si="15"/>
        <v>0.20771850170261064</v>
      </c>
      <c r="L174" s="52">
        <v>83</v>
      </c>
      <c r="M174" s="11">
        <f t="shared" si="16"/>
        <v>0.11859838274932599</v>
      </c>
      <c r="N174" s="52">
        <v>103.73</v>
      </c>
      <c r="O174" s="11">
        <f t="shared" si="17"/>
        <v>0.17581047381546133</v>
      </c>
    </row>
    <row r="175" spans="2:15" x14ac:dyDescent="0.35">
      <c r="B175" s="56">
        <v>44778</v>
      </c>
      <c r="D175" s="46">
        <v>15782.15</v>
      </c>
      <c r="E175" s="11">
        <f t="shared" si="12"/>
        <v>-2.975504344912594E-2</v>
      </c>
      <c r="F175" s="52">
        <v>600.45000000000005</v>
      </c>
      <c r="G175" s="11">
        <f t="shared" si="13"/>
        <v>-4.8565995880209156E-2</v>
      </c>
      <c r="H175" s="52">
        <v>109.7</v>
      </c>
      <c r="I175" s="11">
        <f t="shared" si="14"/>
        <v>-6.2873739962412412E-2</v>
      </c>
      <c r="J175" s="52">
        <v>453.55</v>
      </c>
      <c r="K175" s="11">
        <f t="shared" si="15"/>
        <v>-5.2736006683375081E-2</v>
      </c>
      <c r="L175" s="52">
        <v>79.650000000000006</v>
      </c>
      <c r="M175" s="11">
        <f t="shared" si="16"/>
        <v>-4.0361445783132499E-2</v>
      </c>
      <c r="N175" s="52">
        <v>95.7</v>
      </c>
      <c r="O175" s="11">
        <f t="shared" si="17"/>
        <v>-7.7412513255567306E-2</v>
      </c>
    </row>
    <row r="176" spans="2:15" x14ac:dyDescent="0.35">
      <c r="B176" s="56">
        <v>44566</v>
      </c>
      <c r="D176" s="46">
        <v>16411.25</v>
      </c>
      <c r="E176" s="11">
        <f t="shared" si="12"/>
        <v>3.9861489087354984E-2</v>
      </c>
      <c r="F176" s="52">
        <v>690.4</v>
      </c>
      <c r="G176" s="11">
        <f t="shared" si="13"/>
        <v>0.14980431343159295</v>
      </c>
      <c r="H176" s="52">
        <v>128.37</v>
      </c>
      <c r="I176" s="11">
        <f t="shared" si="14"/>
        <v>0.17019143117593427</v>
      </c>
      <c r="J176" s="52">
        <v>503.8</v>
      </c>
      <c r="K176" s="11">
        <f t="shared" si="15"/>
        <v>0.11079263587256083</v>
      </c>
      <c r="L176" s="52">
        <v>89.9</v>
      </c>
      <c r="M176" s="11">
        <f t="shared" si="16"/>
        <v>0.12868801004394226</v>
      </c>
      <c r="N176" s="52">
        <v>116.34</v>
      </c>
      <c r="O176" s="11">
        <f t="shared" si="17"/>
        <v>0.2156739811912225</v>
      </c>
    </row>
    <row r="177" spans="2:15" x14ac:dyDescent="0.35">
      <c r="B177" s="56" t="s">
        <v>149</v>
      </c>
      <c r="D177" s="46">
        <v>17102.55</v>
      </c>
      <c r="E177" s="11">
        <f t="shared" si="12"/>
        <v>4.2123543301089139E-2</v>
      </c>
      <c r="F177" s="52">
        <v>727.15</v>
      </c>
      <c r="G177" s="11">
        <f t="shared" si="13"/>
        <v>5.3230011587485526E-2</v>
      </c>
      <c r="H177" s="52">
        <v>127.11</v>
      </c>
      <c r="I177" s="11">
        <f t="shared" si="14"/>
        <v>-9.8153774246320102E-3</v>
      </c>
      <c r="J177" s="52">
        <v>540.04999999999995</v>
      </c>
      <c r="K177" s="11">
        <f t="shared" si="15"/>
        <v>7.1953156014291197E-2</v>
      </c>
      <c r="L177" s="52">
        <v>96.75</v>
      </c>
      <c r="M177" s="11">
        <f t="shared" si="16"/>
        <v>7.619577308120129E-2</v>
      </c>
      <c r="N177" s="52">
        <v>120.16</v>
      </c>
      <c r="O177" s="11">
        <f t="shared" si="17"/>
        <v>3.2834794567646597E-2</v>
      </c>
    </row>
    <row r="178" spans="2:15" x14ac:dyDescent="0.35">
      <c r="B178" s="56" t="s">
        <v>150</v>
      </c>
      <c r="D178" s="46">
        <v>17171.95</v>
      </c>
      <c r="E178" s="11">
        <f t="shared" si="12"/>
        <v>4.0578744105412845E-3</v>
      </c>
      <c r="F178" s="52">
        <v>723.4</v>
      </c>
      <c r="G178" s="11">
        <f t="shared" si="13"/>
        <v>-5.157120264044579E-3</v>
      </c>
      <c r="H178" s="52">
        <v>127.75</v>
      </c>
      <c r="I178" s="11">
        <f t="shared" si="14"/>
        <v>5.0350090472819353E-3</v>
      </c>
      <c r="J178" s="52">
        <v>537.85</v>
      </c>
      <c r="K178" s="11">
        <f t="shared" si="15"/>
        <v>-4.0736968799184314E-3</v>
      </c>
      <c r="L178" s="52">
        <v>101.4</v>
      </c>
      <c r="M178" s="11">
        <f t="shared" si="16"/>
        <v>4.806201550387601E-2</v>
      </c>
      <c r="N178" s="52">
        <v>130.6</v>
      </c>
      <c r="O178" s="11">
        <f t="shared" si="17"/>
        <v>8.6884154460719065E-2</v>
      </c>
    </row>
    <row r="179" spans="2:15" x14ac:dyDescent="0.35">
      <c r="B179" s="56">
        <v>44838</v>
      </c>
      <c r="D179" s="46">
        <v>17475.650000000001</v>
      </c>
      <c r="E179" s="11">
        <f t="shared" si="12"/>
        <v>1.7685819024630289E-2</v>
      </c>
      <c r="F179" s="52">
        <v>766.35</v>
      </c>
      <c r="G179" s="11">
        <f t="shared" si="13"/>
        <v>5.9372408072988714E-2</v>
      </c>
      <c r="H179" s="52">
        <v>131.94999999999999</v>
      </c>
      <c r="I179" s="11">
        <f t="shared" si="14"/>
        <v>3.2876712328766988E-2</v>
      </c>
      <c r="J179" s="52">
        <v>552.4</v>
      </c>
      <c r="K179" s="11">
        <f t="shared" si="15"/>
        <v>2.7052152087013059E-2</v>
      </c>
      <c r="L179" s="52">
        <v>106.5</v>
      </c>
      <c r="M179" s="11">
        <f t="shared" si="16"/>
        <v>5.0295857988165604E-2</v>
      </c>
      <c r="N179" s="52">
        <v>125.46</v>
      </c>
      <c r="O179" s="11">
        <f t="shared" si="17"/>
        <v>-3.9356814701378307E-2</v>
      </c>
    </row>
    <row r="180" spans="2:15" x14ac:dyDescent="0.35">
      <c r="B180" s="56">
        <v>44624</v>
      </c>
      <c r="D180" s="46">
        <v>17784.349999999999</v>
      </c>
      <c r="E180" s="11">
        <f t="shared" si="12"/>
        <v>1.7664578999922576E-2</v>
      </c>
      <c r="F180" s="52">
        <v>756.6</v>
      </c>
      <c r="G180" s="11">
        <f t="shared" si="13"/>
        <v>-1.2722646310432517E-2</v>
      </c>
      <c r="H180" s="52">
        <v>137.07</v>
      </c>
      <c r="I180" s="11">
        <f t="shared" si="14"/>
        <v>3.8802576733611316E-2</v>
      </c>
      <c r="J180" s="52">
        <v>562.79999999999995</v>
      </c>
      <c r="K180" s="11">
        <f t="shared" si="15"/>
        <v>1.8826937002172306E-2</v>
      </c>
      <c r="L180" s="52">
        <v>110.9</v>
      </c>
      <c r="M180" s="11">
        <f t="shared" si="16"/>
        <v>4.1314553990610348E-2</v>
      </c>
      <c r="N180" s="52">
        <v>114.3</v>
      </c>
      <c r="O180" s="11">
        <f t="shared" si="17"/>
        <v>-8.8952654232424599E-2</v>
      </c>
    </row>
    <row r="181" spans="2:15" x14ac:dyDescent="0.35">
      <c r="B181" s="56" t="s">
        <v>151</v>
      </c>
      <c r="D181" s="46">
        <v>17670.45</v>
      </c>
      <c r="E181" s="11">
        <f t="shared" si="12"/>
        <v>-6.4045073336949088E-3</v>
      </c>
      <c r="F181" s="52">
        <v>732.2</v>
      </c>
      <c r="G181" s="11">
        <f t="shared" si="13"/>
        <v>-3.2249537404176576E-2</v>
      </c>
      <c r="H181" s="52">
        <v>131.71</v>
      </c>
      <c r="I181" s="11">
        <f t="shared" si="14"/>
        <v>-3.9104107390384391E-2</v>
      </c>
      <c r="J181" s="52">
        <v>530.85</v>
      </c>
      <c r="K181" s="11">
        <f t="shared" si="15"/>
        <v>-5.6769722814498769E-2</v>
      </c>
      <c r="L181" s="52">
        <v>102.15</v>
      </c>
      <c r="M181" s="11">
        <f t="shared" si="16"/>
        <v>-7.8899909828674453E-2</v>
      </c>
      <c r="N181" s="52">
        <v>113.09</v>
      </c>
      <c r="O181" s="11">
        <f t="shared" si="17"/>
        <v>-1.0586176727908958E-2</v>
      </c>
    </row>
    <row r="182" spans="2:15" x14ac:dyDescent="0.35">
      <c r="B182" s="56" t="s">
        <v>152</v>
      </c>
      <c r="D182" s="46">
        <v>17153</v>
      </c>
      <c r="E182" s="11">
        <f t="shared" si="12"/>
        <v>-2.928335158414197E-2</v>
      </c>
      <c r="F182" s="52">
        <v>721.35</v>
      </c>
      <c r="G182" s="11">
        <f t="shared" si="13"/>
        <v>-1.4818355640535352E-2</v>
      </c>
      <c r="H182" s="52">
        <v>133.9</v>
      </c>
      <c r="I182" s="11">
        <f t="shared" si="14"/>
        <v>1.6627439070685535E-2</v>
      </c>
      <c r="J182" s="52">
        <v>529.65</v>
      </c>
      <c r="K182" s="11">
        <f t="shared" si="15"/>
        <v>-2.2605255721955819E-3</v>
      </c>
      <c r="L182" s="52">
        <v>103.1</v>
      </c>
      <c r="M182" s="11">
        <f t="shared" si="16"/>
        <v>9.3000489476260384E-3</v>
      </c>
      <c r="N182" s="52">
        <v>114.27</v>
      </c>
      <c r="O182" s="11">
        <f t="shared" si="17"/>
        <v>1.0434167477230361E-2</v>
      </c>
    </row>
    <row r="183" spans="2:15" x14ac:dyDescent="0.35">
      <c r="B183" s="56" t="s">
        <v>153</v>
      </c>
      <c r="D183" s="46">
        <v>17287.05</v>
      </c>
      <c r="E183" s="11">
        <f t="shared" si="12"/>
        <v>7.8149594823062607E-3</v>
      </c>
      <c r="F183" s="52">
        <v>685.1</v>
      </c>
      <c r="G183" s="11">
        <f t="shared" si="13"/>
        <v>-5.0252997851251147E-2</v>
      </c>
      <c r="H183" s="52">
        <v>130.35</v>
      </c>
      <c r="I183" s="11">
        <f t="shared" si="14"/>
        <v>-2.6512322628827523E-2</v>
      </c>
      <c r="J183" s="52">
        <v>477.15</v>
      </c>
      <c r="K183" s="11">
        <f t="shared" si="15"/>
        <v>-9.912206173888416E-2</v>
      </c>
      <c r="L183" s="52">
        <v>98.1</v>
      </c>
      <c r="M183" s="11">
        <f t="shared" si="16"/>
        <v>-4.8496605237633328E-2</v>
      </c>
      <c r="N183" s="52">
        <v>108.13</v>
      </c>
      <c r="O183" s="11">
        <f t="shared" si="17"/>
        <v>-5.3732388203378001E-2</v>
      </c>
    </row>
    <row r="184" spans="2:15" x14ac:dyDescent="0.35">
      <c r="B184" s="56">
        <v>44715</v>
      </c>
      <c r="D184" s="46">
        <v>16630.45</v>
      </c>
      <c r="E184" s="11">
        <f t="shared" si="12"/>
        <v>-3.7982188979611808E-2</v>
      </c>
      <c r="F184" s="52">
        <v>669.75</v>
      </c>
      <c r="G184" s="11">
        <f t="shared" si="13"/>
        <v>-2.2405488249890526E-2</v>
      </c>
      <c r="H184" s="52">
        <v>130.16999999999999</v>
      </c>
      <c r="I184" s="11">
        <f t="shared" si="14"/>
        <v>-1.3808975834292969E-3</v>
      </c>
      <c r="J184" s="52">
        <v>479.25</v>
      </c>
      <c r="K184" s="11">
        <f t="shared" si="15"/>
        <v>4.4011317195851163E-3</v>
      </c>
      <c r="L184" s="52">
        <v>99.65</v>
      </c>
      <c r="M184" s="11">
        <f t="shared" si="16"/>
        <v>1.5800203873598484E-2</v>
      </c>
      <c r="N184" s="52">
        <v>107.43</v>
      </c>
      <c r="O184" s="11">
        <f t="shared" si="17"/>
        <v>-6.4736890779616418E-3</v>
      </c>
    </row>
    <row r="185" spans="2:15" x14ac:dyDescent="0.35">
      <c r="B185" s="56" t="s">
        <v>154</v>
      </c>
      <c r="D185" s="46">
        <v>16245.35</v>
      </c>
      <c r="E185" s="11">
        <f t="shared" si="12"/>
        <v>-2.3156318680492727E-2</v>
      </c>
      <c r="F185" s="52">
        <v>631.95000000000005</v>
      </c>
      <c r="G185" s="11">
        <f t="shared" si="13"/>
        <v>-5.6438969764837532E-2</v>
      </c>
      <c r="H185" s="52">
        <v>127.71</v>
      </c>
      <c r="I185" s="11">
        <f t="shared" si="14"/>
        <v>-1.8898363678266805E-2</v>
      </c>
      <c r="J185" s="52">
        <v>435.75</v>
      </c>
      <c r="K185" s="11">
        <f t="shared" si="15"/>
        <v>-9.0766823161189336E-2</v>
      </c>
      <c r="L185" s="52">
        <v>97.55</v>
      </c>
      <c r="M185" s="11">
        <f t="shared" si="16"/>
        <v>-2.1073758153537514E-2</v>
      </c>
      <c r="N185" s="52">
        <v>91</v>
      </c>
      <c r="O185" s="11">
        <f t="shared" si="17"/>
        <v>-0.15293679605324406</v>
      </c>
    </row>
    <row r="186" spans="2:15" x14ac:dyDescent="0.35">
      <c r="B186" s="56" t="s">
        <v>155</v>
      </c>
      <c r="D186" s="46">
        <v>16658.400000000001</v>
      </c>
      <c r="E186" s="11">
        <f t="shared" si="12"/>
        <v>2.5425737210955868E-2</v>
      </c>
      <c r="F186" s="52">
        <v>598.6</v>
      </c>
      <c r="G186" s="11">
        <f t="shared" si="13"/>
        <v>-5.2773162433736864E-2</v>
      </c>
      <c r="H186" s="52">
        <v>114.54</v>
      </c>
      <c r="I186" s="11">
        <f t="shared" si="14"/>
        <v>-0.10312426591496349</v>
      </c>
      <c r="J186" s="52">
        <v>399.75</v>
      </c>
      <c r="K186" s="11">
        <f t="shared" si="15"/>
        <v>-8.2616179001721135E-2</v>
      </c>
      <c r="L186" s="52">
        <v>91.6</v>
      </c>
      <c r="M186" s="11">
        <f t="shared" si="16"/>
        <v>-6.0994361865709945E-2</v>
      </c>
      <c r="N186" s="52">
        <v>80.37</v>
      </c>
      <c r="O186" s="11">
        <f t="shared" si="17"/>
        <v>-0.11681318681318675</v>
      </c>
    </row>
    <row r="187" spans="2:15" x14ac:dyDescent="0.35">
      <c r="B187" s="56" t="s">
        <v>156</v>
      </c>
      <c r="D187" s="46">
        <v>17276.3</v>
      </c>
      <c r="E187" s="11">
        <f t="shared" si="12"/>
        <v>3.7092397829323165E-2</v>
      </c>
      <c r="F187" s="52">
        <v>632.85</v>
      </c>
      <c r="G187" s="11">
        <f t="shared" si="13"/>
        <v>5.7216839291680532E-2</v>
      </c>
      <c r="H187" s="52">
        <v>119.08</v>
      </c>
      <c r="I187" s="11">
        <f t="shared" si="14"/>
        <v>3.963680810197312E-2</v>
      </c>
      <c r="J187" s="52">
        <v>413.15</v>
      </c>
      <c r="K187" s="11">
        <f t="shared" si="15"/>
        <v>3.352095059412119E-2</v>
      </c>
      <c r="L187" s="52">
        <v>96.85</v>
      </c>
      <c r="M187" s="11">
        <f t="shared" si="16"/>
        <v>5.7314410480349354E-2</v>
      </c>
      <c r="N187" s="52">
        <v>80.84</v>
      </c>
      <c r="O187" s="11">
        <f t="shared" si="17"/>
        <v>5.8479532163742132E-3</v>
      </c>
    </row>
    <row r="188" spans="2:15" x14ac:dyDescent="0.35">
      <c r="B188" s="56">
        <v>44714</v>
      </c>
      <c r="D188" s="46">
        <v>17374.75</v>
      </c>
      <c r="E188" s="11">
        <f t="shared" si="12"/>
        <v>5.6985581403425911E-3</v>
      </c>
      <c r="F188" s="52">
        <v>671.4</v>
      </c>
      <c r="G188" s="11">
        <f t="shared" si="13"/>
        <v>6.0914908746148244E-2</v>
      </c>
      <c r="H188" s="52">
        <v>125.44</v>
      </c>
      <c r="I188" s="11">
        <f t="shared" si="14"/>
        <v>5.3409472623446419E-2</v>
      </c>
      <c r="J188" s="52">
        <v>436.4</v>
      </c>
      <c r="K188" s="11">
        <f t="shared" si="15"/>
        <v>5.6274960668038165E-2</v>
      </c>
      <c r="L188" s="52">
        <v>101.75</v>
      </c>
      <c r="M188" s="11">
        <f t="shared" si="16"/>
        <v>5.0593701600412988E-2</v>
      </c>
      <c r="N188" s="52">
        <v>86.26</v>
      </c>
      <c r="O188" s="11">
        <f t="shared" si="17"/>
        <v>6.704601682335487E-2</v>
      </c>
    </row>
    <row r="189" spans="2:15" x14ac:dyDescent="0.35">
      <c r="B189" s="56" t="s">
        <v>157</v>
      </c>
      <c r="D189" s="46">
        <v>17516.3</v>
      </c>
      <c r="E189" s="11">
        <f t="shared" si="12"/>
        <v>8.1468798112203089E-3</v>
      </c>
      <c r="F189" s="52">
        <v>657.35</v>
      </c>
      <c r="G189" s="11">
        <f t="shared" si="13"/>
        <v>-2.0926422400953215E-2</v>
      </c>
      <c r="H189" s="52">
        <v>117.63</v>
      </c>
      <c r="I189" s="11">
        <f t="shared" si="14"/>
        <v>-6.2260841836734748E-2</v>
      </c>
      <c r="J189" s="52">
        <v>424.4</v>
      </c>
      <c r="K189" s="11">
        <f t="shared" si="15"/>
        <v>-2.7497708524289677E-2</v>
      </c>
      <c r="L189" s="52">
        <v>105.1</v>
      </c>
      <c r="M189" s="11">
        <f t="shared" si="16"/>
        <v>3.292383292383283E-2</v>
      </c>
      <c r="N189" s="52">
        <v>94.08</v>
      </c>
      <c r="O189" s="11">
        <f t="shared" si="17"/>
        <v>9.065615580802211E-2</v>
      </c>
    </row>
    <row r="190" spans="2:15" x14ac:dyDescent="0.35">
      <c r="B190" s="56" t="s">
        <v>158</v>
      </c>
      <c r="D190" s="46">
        <v>17101.95</v>
      </c>
      <c r="E190" s="11">
        <f t="shared" si="12"/>
        <v>-2.3655109812003583E-2</v>
      </c>
      <c r="F190" s="52">
        <v>628.04999999999995</v>
      </c>
      <c r="G190" s="11">
        <f t="shared" si="13"/>
        <v>-4.4572906366471488E-2</v>
      </c>
      <c r="H190" s="52">
        <v>108.46</v>
      </c>
      <c r="I190" s="11">
        <f t="shared" si="14"/>
        <v>-7.7956303664031279E-2</v>
      </c>
      <c r="J190" s="52">
        <v>382.6</v>
      </c>
      <c r="K190" s="11">
        <f t="shared" si="15"/>
        <v>-9.8491988689915044E-2</v>
      </c>
      <c r="L190" s="52">
        <v>97.45</v>
      </c>
      <c r="M190" s="11">
        <f t="shared" si="16"/>
        <v>-7.2787821122740182E-2</v>
      </c>
      <c r="N190" s="52">
        <v>81.94</v>
      </c>
      <c r="O190" s="11">
        <f t="shared" si="17"/>
        <v>-0.12903911564625847</v>
      </c>
    </row>
    <row r="191" spans="2:15" x14ac:dyDescent="0.35">
      <c r="B191" s="56" t="s">
        <v>159</v>
      </c>
      <c r="D191" s="46">
        <v>17617.150000000001</v>
      </c>
      <c r="E191" s="11">
        <f t="shared" si="12"/>
        <v>3.0125219638696299E-2</v>
      </c>
      <c r="F191" s="52">
        <v>666.25</v>
      </c>
      <c r="G191" s="11">
        <f t="shared" si="13"/>
        <v>6.082318286760624E-2</v>
      </c>
      <c r="H191" s="52">
        <v>116.97</v>
      </c>
      <c r="I191" s="11">
        <f t="shared" si="14"/>
        <v>7.8462105845473085E-2</v>
      </c>
      <c r="J191" s="52">
        <v>405.15</v>
      </c>
      <c r="K191" s="11">
        <f t="shared" si="15"/>
        <v>5.8938839519079966E-2</v>
      </c>
      <c r="L191" s="52">
        <v>102.55</v>
      </c>
      <c r="M191" s="11">
        <f t="shared" si="16"/>
        <v>5.2334530528476142E-2</v>
      </c>
      <c r="N191" s="52">
        <v>83.3</v>
      </c>
      <c r="O191" s="11">
        <f t="shared" si="17"/>
        <v>1.6597510373443924E-2</v>
      </c>
    </row>
    <row r="192" spans="2:15" x14ac:dyDescent="0.35">
      <c r="B192" s="56">
        <v>44805</v>
      </c>
      <c r="D192" s="46">
        <v>18255.75</v>
      </c>
      <c r="E192" s="11">
        <f t="shared" si="12"/>
        <v>3.6248768955250865E-2</v>
      </c>
      <c r="F192" s="52">
        <v>682.7</v>
      </c>
      <c r="G192" s="11">
        <f t="shared" si="13"/>
        <v>2.4690431519699851E-2</v>
      </c>
      <c r="H192" s="52">
        <v>121.36</v>
      </c>
      <c r="I192" s="11">
        <f t="shared" si="14"/>
        <v>3.7530990852355339E-2</v>
      </c>
      <c r="J192" s="52">
        <v>418.65</v>
      </c>
      <c r="K192" s="11">
        <f t="shared" si="15"/>
        <v>3.3320992225101875E-2</v>
      </c>
      <c r="L192" s="52">
        <v>108.2</v>
      </c>
      <c r="M192" s="11">
        <f t="shared" si="16"/>
        <v>5.5095075572891394E-2</v>
      </c>
      <c r="N192" s="52">
        <v>84.65</v>
      </c>
      <c r="O192" s="11">
        <f t="shared" si="17"/>
        <v>1.6206482593037252E-2</v>
      </c>
    </row>
    <row r="193" spans="2:15" x14ac:dyDescent="0.35">
      <c r="B193" s="57">
        <v>44593</v>
      </c>
      <c r="C193" s="7"/>
      <c r="D193" s="58">
        <v>17812.7</v>
      </c>
      <c r="E193" s="59">
        <f t="shared" si="12"/>
        <v>-2.4269065910740406E-2</v>
      </c>
      <c r="F193" s="60">
        <v>672.85</v>
      </c>
      <c r="G193" s="59">
        <f t="shared" si="13"/>
        <v>-1.4428006444997865E-2</v>
      </c>
      <c r="H193" s="60">
        <v>116.04</v>
      </c>
      <c r="I193" s="59">
        <f t="shared" si="14"/>
        <v>-4.3836519446275535E-2</v>
      </c>
      <c r="J193" s="60">
        <v>406.6</v>
      </c>
      <c r="K193" s="59">
        <f t="shared" si="15"/>
        <v>-2.8782992953541031E-2</v>
      </c>
      <c r="L193" s="60">
        <v>112</v>
      </c>
      <c r="M193" s="59">
        <f t="shared" si="16"/>
        <v>3.512014787430684E-2</v>
      </c>
      <c r="N193" s="60">
        <v>77.12</v>
      </c>
      <c r="O193" s="61">
        <f t="shared" si="17"/>
        <v>-8.8954518606024768E-2</v>
      </c>
    </row>
    <row r="194" spans="2:15" x14ac:dyDescent="0.35">
      <c r="F194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2"/>
  <sheetViews>
    <sheetView workbookViewId="0">
      <selection activeCell="C7" sqref="C7"/>
    </sheetView>
  </sheetViews>
  <sheetFormatPr defaultRowHeight="14.5" x14ac:dyDescent="0.35"/>
  <cols>
    <col min="1" max="1" width="8.7265625" style="1"/>
    <col min="2" max="2" width="31.08984375" style="1" bestFit="1" customWidth="1"/>
    <col min="3" max="16384" width="8.7265625" style="1"/>
  </cols>
  <sheetData>
    <row r="1" spans="2:3" ht="18.5" x14ac:dyDescent="0.45">
      <c r="B1" s="65" t="s">
        <v>170</v>
      </c>
    </row>
    <row r="3" spans="2:3" x14ac:dyDescent="0.35">
      <c r="B3" s="44" t="s">
        <v>171</v>
      </c>
    </row>
    <row r="4" spans="2:3" x14ac:dyDescent="0.35">
      <c r="B4" s="1" t="s">
        <v>172</v>
      </c>
      <c r="C4" s="66">
        <v>6.1879999999999998E-2</v>
      </c>
    </row>
    <row r="5" spans="2:3" x14ac:dyDescent="0.35">
      <c r="B5" s="1" t="s">
        <v>173</v>
      </c>
      <c r="C5" s="10">
        <v>2.18E-2</v>
      </c>
    </row>
    <row r="6" spans="2:3" x14ac:dyDescent="0.35">
      <c r="B6" s="1" t="s">
        <v>174</v>
      </c>
      <c r="C6" s="10">
        <v>4.3299999999999998E-2</v>
      </c>
    </row>
    <row r="7" spans="2:3" x14ac:dyDescent="0.35">
      <c r="B7" s="1" t="s">
        <v>175</v>
      </c>
      <c r="C7" s="10">
        <v>7.2599999999999998E-2</v>
      </c>
    </row>
    <row r="8" spans="2:3" x14ac:dyDescent="0.35">
      <c r="C8" s="9"/>
    </row>
    <row r="9" spans="2:3" x14ac:dyDescent="0.35">
      <c r="B9" s="44" t="s">
        <v>176</v>
      </c>
      <c r="C9" s="9"/>
    </row>
    <row r="10" spans="2:3" x14ac:dyDescent="0.35">
      <c r="B10" s="1" t="s">
        <v>177</v>
      </c>
      <c r="C10" s="10">
        <f>C4-C5</f>
        <v>4.0079999999999998E-2</v>
      </c>
    </row>
    <row r="11" spans="2:3" x14ac:dyDescent="0.35">
      <c r="B11" s="1" t="s">
        <v>178</v>
      </c>
      <c r="C11" s="10">
        <v>2.93E-2</v>
      </c>
    </row>
    <row r="12" spans="2:3" x14ac:dyDescent="0.35">
      <c r="B12" s="1" t="s">
        <v>179</v>
      </c>
      <c r="C12" s="10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WACC</vt:lpstr>
      <vt:lpstr>peers Levered Beta - regression</vt:lpstr>
      <vt:lpstr>WACC input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Anvekar</dc:creator>
  <cp:lastModifiedBy>Harsh Anvekar</cp:lastModifiedBy>
  <dcterms:created xsi:type="dcterms:W3CDTF">2025-05-25T13:42:23Z</dcterms:created>
  <dcterms:modified xsi:type="dcterms:W3CDTF">2025-06-21T05:42:06Z</dcterms:modified>
</cp:coreProperties>
</file>